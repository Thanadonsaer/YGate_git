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5"/>
  <workbookPr defaultThemeVersion="124226"/>
  <mc:AlternateContent xmlns:mc="http://schemas.openxmlformats.org/markup-compatibility/2006">
    <mc:Choice Requires="x15">
      <x15ac:absPath xmlns:x15ac="http://schemas.microsoft.com/office/spreadsheetml/2010/11/ac" url="D:\OneDrive - GPSC\gpsc13650002\Desktop\"/>
    </mc:Choice>
  </mc:AlternateContent>
  <xr:revisionPtr revIDLastSave="0" documentId="8_{DE3A068E-FE2D-44A2-ACAB-0484379DF912}" xr6:coauthVersionLast="47" xr6:coauthVersionMax="47" xr10:uidLastSave="{00000000-0000-0000-0000-000000000000}"/>
  <bookViews>
    <workbookView xWindow="-120" yWindow="-120" windowWidth="29040" windowHeight="15720" tabRatio="389" xr2:uid="{00000000-000D-0000-FFFF-FFFF00000000}"/>
  </bookViews>
  <sheets>
    <sheet name="Parks Summary"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2" l="1"/>
  <c r="P6" i="2"/>
  <c r="P7" i="2"/>
  <c r="P8" i="2"/>
  <c r="P9" i="2"/>
  <c r="P10" i="2"/>
  <c r="P11" i="2"/>
  <c r="P12" i="2"/>
  <c r="P13" i="2"/>
  <c r="P14" i="2"/>
  <c r="P15" i="2"/>
  <c r="P16" i="2"/>
  <c r="P17" i="2"/>
  <c r="P18" i="2"/>
  <c r="P19" i="2"/>
  <c r="P20" i="2"/>
  <c r="P4" i="2"/>
  <c r="Q4" i="2"/>
  <c r="Q5" i="2"/>
  <c r="Q6" i="2"/>
  <c r="Q7" i="2"/>
  <c r="Q8" i="2"/>
  <c r="Q9" i="2"/>
  <c r="Q10" i="2"/>
  <c r="Q11" i="2"/>
  <c r="Q12" i="2"/>
  <c r="Q13" i="2"/>
  <c r="Q14" i="2"/>
  <c r="Q15" i="2"/>
  <c r="Q16" i="2"/>
  <c r="Q17" i="2"/>
  <c r="Q18" i="2"/>
  <c r="Q19" i="2"/>
  <c r="Q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Carlo Tita</author>
    <author>Francesco Di Dio</author>
  </authors>
  <commentList>
    <comment ref="A3" authorId="0" shapeId="0" xr:uid="{7DE415E0-9B3A-4829-ADAB-80AECA0A0863}">
      <text>
        <r>
          <rPr>
            <b/>
            <sz val="9"/>
            <color rgb="FF000000"/>
            <rFont val="Tahoma"/>
            <family val="2"/>
          </rPr>
          <t>BaxEnergy:</t>
        </r>
        <r>
          <rPr>
            <sz val="9"/>
            <color rgb="FF000000"/>
            <rFont val="Tahoma"/>
            <family val="2"/>
          </rPr>
          <t xml:space="preserve">
</t>
        </r>
        <r>
          <rPr>
            <sz val="9"/>
            <color rgb="FF000000"/>
            <rFont val="Tahoma"/>
            <family val="2"/>
          </rPr>
          <t>This field has to be filled with a sequential number to identify and count the power plants</t>
        </r>
      </text>
    </comment>
    <comment ref="B3" authorId="0" shapeId="0" xr:uid="{AC89DC60-6A8D-4177-8926-0812FD63A1BA}">
      <text>
        <r>
          <rPr>
            <b/>
            <sz val="9"/>
            <color rgb="FF000000"/>
            <rFont val="Tahoma"/>
            <family val="2"/>
          </rPr>
          <t>BaxEnergy:</t>
        </r>
        <r>
          <rPr>
            <sz val="9"/>
            <color rgb="FF000000"/>
            <rFont val="Tahoma"/>
            <family val="2"/>
          </rPr>
          <t xml:space="preserve">
</t>
        </r>
        <r>
          <rPr>
            <sz val="9"/>
            <color rgb="FF000000"/>
            <rFont val="Tahoma"/>
            <family val="2"/>
          </rPr>
          <t>This field has to be filled with the "Name" used to identify the power plant</t>
        </r>
      </text>
    </comment>
    <comment ref="C3" authorId="0" shapeId="0" xr:uid="{D8A82273-3D90-4AD9-8FDD-44C930586301}">
      <text>
        <r>
          <rPr>
            <b/>
            <sz val="9"/>
            <color rgb="FF000000"/>
            <rFont val="Tahoma"/>
            <family val="2"/>
          </rPr>
          <t>BaxEnergy:</t>
        </r>
        <r>
          <rPr>
            <sz val="9"/>
            <color rgb="FF000000"/>
            <rFont val="Tahoma"/>
            <family val="2"/>
          </rPr>
          <t xml:space="preserve">
</t>
        </r>
        <r>
          <rPr>
            <sz val="9"/>
            <color rgb="FF000000"/>
            <rFont val="Tahoma"/>
            <family val="2"/>
          </rPr>
          <t>This field has to be filled with the renewable technology of the power plants (e.g. Wind, PV, BESS etc.)</t>
        </r>
      </text>
    </comment>
    <comment ref="D3" authorId="0" shapeId="0" xr:uid="{E1C8EBEC-4B40-42B7-8AAF-FCBFB2477131}">
      <text>
        <r>
          <rPr>
            <b/>
            <sz val="9"/>
            <color rgb="FF000000"/>
            <rFont val="Tahoma"/>
            <family val="2"/>
          </rPr>
          <t>BaxEnergy:</t>
        </r>
        <r>
          <rPr>
            <sz val="9"/>
            <color rgb="FF000000"/>
            <rFont val="Tahoma"/>
            <family val="2"/>
          </rPr>
          <t xml:space="preserve">
</t>
        </r>
        <r>
          <rPr>
            <sz val="9"/>
            <color rgb="FF000000"/>
            <rFont val="Tahoma"/>
            <family val="2"/>
          </rPr>
          <t>This field has to be filled with the Nominal Power of the power plants or BESS.</t>
        </r>
      </text>
    </comment>
    <comment ref="F3" authorId="1" shapeId="0" xr:uid="{FED1E6EA-3B47-3D42-A65D-7672C89EBFB8}">
      <text>
        <r>
          <rPr>
            <b/>
            <sz val="10"/>
            <color rgb="FF000000"/>
            <rFont val="Tahoma"/>
            <family val="2"/>
          </rPr>
          <t>BaxEnergy:</t>
        </r>
        <r>
          <rPr>
            <sz val="10"/>
            <color rgb="FF000000"/>
            <rFont val="Tahoma"/>
            <family val="2"/>
          </rPr>
          <t xml:space="preserve">
</t>
        </r>
        <r>
          <rPr>
            <sz val="10"/>
            <color rgb="FF000000"/>
            <rFont val="Tahoma"/>
            <family val="2"/>
          </rPr>
          <t>Indicate the OEM of the turbines for wind, inverter for solar, etc.</t>
        </r>
      </text>
    </comment>
    <comment ref="G3" authorId="0" shapeId="0" xr:uid="{133ABDB5-EBAC-4631-8A76-AD919ABE66DB}">
      <text>
        <r>
          <rPr>
            <b/>
            <sz val="9"/>
            <color rgb="FF000000"/>
            <rFont val="Tahoma"/>
            <family val="2"/>
          </rPr>
          <t>BaxEnergy:</t>
        </r>
        <r>
          <rPr>
            <sz val="9"/>
            <color rgb="FF000000"/>
            <rFont val="Tahoma"/>
            <family val="2"/>
          </rPr>
          <t xml:space="preserve">
</t>
        </r>
        <r>
          <rPr>
            <sz val="9"/>
            <color rgb="FF000000"/>
            <rFont val="Tahoma"/>
            <family val="2"/>
          </rPr>
          <t>This field has to be filled with the Manufacturer and Model information of the first level SCADA in the plant.</t>
        </r>
      </text>
    </comment>
    <comment ref="H3" authorId="0" shapeId="0" xr:uid="{779DA64F-3AD8-47A1-9B58-85DB40414D30}">
      <text>
        <r>
          <rPr>
            <b/>
            <sz val="9"/>
            <color rgb="FF000000"/>
            <rFont val="Tahoma"/>
            <family val="2"/>
          </rPr>
          <t>BaxEnergy:</t>
        </r>
        <r>
          <rPr>
            <sz val="9"/>
            <color rgb="FF000000"/>
            <rFont val="Tahoma"/>
            <family val="2"/>
          </rPr>
          <t xml:space="preserve">
</t>
        </r>
        <r>
          <rPr>
            <sz val="9"/>
            <color rgb="FF000000"/>
            <rFont val="Tahoma"/>
            <family val="2"/>
          </rPr>
          <t>This field has to be filled with the information about the real time communication protocol of the first level SCADA: OPC UA - DA - XMLDA / IEC-104 / Modbus TCP / MQTT or other</t>
        </r>
      </text>
    </comment>
    <comment ref="I3" authorId="0" shapeId="0" xr:uid="{F9744DE1-A452-4D56-9682-463053D6FEE7}">
      <text>
        <r>
          <rPr>
            <b/>
            <sz val="9"/>
            <color rgb="FF000000"/>
            <rFont val="Tahoma"/>
            <family val="2"/>
          </rPr>
          <t>BaxEnergy:</t>
        </r>
        <r>
          <rPr>
            <sz val="9"/>
            <color rgb="FF000000"/>
            <rFont val="Tahoma"/>
            <family val="2"/>
          </rPr>
          <t xml:space="preserve">
</t>
        </r>
        <r>
          <rPr>
            <sz val="9"/>
            <color rgb="FF000000"/>
            <rFont val="Tahoma"/>
            <family val="2"/>
          </rPr>
          <t>This field has to be filled with the information about the historical communication protocol of the first level SCADA:
ODBC (SQL) / FTP - sFTP / API or other</t>
        </r>
      </text>
    </comment>
    <comment ref="J3" authorId="0" shapeId="0" xr:uid="{D725B68F-BC0B-4741-BF87-23FE93C50D1F}">
      <text>
        <r>
          <rPr>
            <b/>
            <sz val="9"/>
            <color rgb="FF000000"/>
            <rFont val="Tahoma"/>
            <family val="2"/>
          </rPr>
          <t>BaxEnergy:</t>
        </r>
        <r>
          <rPr>
            <sz val="9"/>
            <color rgb="FF000000"/>
            <rFont val="Tahoma"/>
            <family val="2"/>
          </rPr>
          <t xml:space="preserve">
</t>
        </r>
        <r>
          <rPr>
            <sz val="9"/>
            <color rgb="FF000000"/>
            <rFont val="Tahoma"/>
            <family val="2"/>
          </rPr>
          <t xml:space="preserve">This field has to be filled with the information of the internet VPN connection so as to access remotely the power plant SCADA (Cisco AnyConnect, Cisco IPSec, OpenVPN, etc.) </t>
        </r>
      </text>
    </comment>
    <comment ref="K3" authorId="0" shapeId="0" xr:uid="{D97C9DBC-A646-44C1-832C-F7A672CB598A}">
      <text>
        <r>
          <rPr>
            <b/>
            <sz val="9"/>
            <color rgb="FF000000"/>
            <rFont val="Tahoma"/>
            <family val="2"/>
          </rPr>
          <t>BaxEnergy:</t>
        </r>
        <r>
          <rPr>
            <sz val="9"/>
            <color rgb="FF000000"/>
            <rFont val="Tahoma"/>
            <family val="2"/>
          </rPr>
          <t xml:space="preserve">
</t>
        </r>
        <r>
          <rPr>
            <sz val="9"/>
            <color rgb="FF000000"/>
            <rFont val="Tahoma"/>
            <family val="2"/>
          </rPr>
          <t>This field has to be filled with the information if in the power plant is already present a TCP/IP network that connects all the devices to be acquired. This information is necessary to verify if the power plant has a unique acquisition point so as to connect to all devices on field</t>
        </r>
      </text>
    </comment>
    <comment ref="L3" authorId="0" shapeId="0" xr:uid="{464931D3-4909-4773-AA2E-433D38D5CEB4}">
      <text>
        <r>
          <rPr>
            <b/>
            <sz val="9"/>
            <color rgb="FF000000"/>
            <rFont val="Tahoma"/>
            <family val="2"/>
          </rPr>
          <t>BaxEnergy:</t>
        </r>
        <r>
          <rPr>
            <sz val="9"/>
            <color rgb="FF000000"/>
            <rFont val="Tahoma"/>
            <family val="2"/>
          </rPr>
          <t xml:space="preserve">
</t>
        </r>
        <r>
          <rPr>
            <sz val="9"/>
            <color rgb="FF000000"/>
            <rFont val="Tahoma"/>
            <family val="2"/>
          </rPr>
          <t>This field has to be filled with the number of the generation units of the power plant. (e.g. for wind: N</t>
        </r>
        <r>
          <rPr>
            <sz val="9"/>
            <color rgb="FF000000"/>
            <rFont val="Tahoma"/>
            <family val="2"/>
          </rPr>
          <t>°</t>
        </r>
        <r>
          <rPr>
            <sz val="9"/>
            <color rgb="FF000000"/>
            <rFont val="Tahoma"/>
            <family val="2"/>
          </rPr>
          <t xml:space="preserve"> of Turbines, for PV: N</t>
        </r>
        <r>
          <rPr>
            <sz val="9"/>
            <color rgb="FF000000"/>
            <rFont val="Tahoma"/>
            <family val="2"/>
          </rPr>
          <t>°</t>
        </r>
        <r>
          <rPr>
            <sz val="9"/>
            <color rgb="FF000000"/>
            <rFont val="Tahoma"/>
            <family val="2"/>
          </rPr>
          <t xml:space="preserve"> of inverters, etc.)</t>
        </r>
      </text>
    </comment>
    <comment ref="M3" authorId="0" shapeId="0" xr:uid="{7F337C2A-2528-4E64-B191-3F07462B7E73}">
      <text>
        <r>
          <rPr>
            <b/>
            <sz val="9"/>
            <color rgb="FF000000"/>
            <rFont val="Tahoma"/>
            <family val="2"/>
          </rPr>
          <t>BaxEnergy:</t>
        </r>
        <r>
          <rPr>
            <sz val="9"/>
            <color rgb="FF000000"/>
            <rFont val="Tahoma"/>
            <family val="2"/>
          </rPr>
          <t xml:space="preserve">
</t>
        </r>
        <r>
          <rPr>
            <sz val="9"/>
            <color rgb="FF000000"/>
            <rFont val="Tahoma"/>
            <family val="2"/>
          </rPr>
          <t>This field has to be filled with an estimation of the number of tags (data point) exposed by the real time flow of the power plant. In this number has to be included all the signals (Analogic and Digital)</t>
        </r>
      </text>
    </comment>
    <comment ref="N3" authorId="0" shapeId="0" xr:uid="{20F7D194-DAD0-41B9-908D-F46B909D9650}">
      <text>
        <r>
          <rPr>
            <b/>
            <sz val="9"/>
            <color rgb="FF000000"/>
            <rFont val="Tahoma"/>
            <family val="2"/>
          </rPr>
          <t>BaxEnergy:</t>
        </r>
        <r>
          <rPr>
            <sz val="9"/>
            <color rgb="FF000000"/>
            <rFont val="Tahoma"/>
            <family val="2"/>
          </rPr>
          <t xml:space="preserve">
</t>
        </r>
        <r>
          <rPr>
            <sz val="9"/>
            <color rgb="FF000000"/>
            <rFont val="Tahoma"/>
            <family val="2"/>
          </rPr>
          <t>This field has to be filled with the information about the Country/Region where is present the power plant</t>
        </r>
      </text>
    </comment>
    <comment ref="O3" authorId="0" shapeId="0" xr:uid="{B8A43302-8E4A-425D-8CA9-2A5CD76248F0}">
      <text>
        <r>
          <rPr>
            <b/>
            <sz val="9"/>
            <color rgb="FF000000"/>
            <rFont val="Tahoma"/>
            <family val="2"/>
          </rPr>
          <t>BaxEnergy:</t>
        </r>
        <r>
          <rPr>
            <sz val="9"/>
            <color rgb="FF000000"/>
            <rFont val="Tahoma"/>
            <family val="2"/>
          </rPr>
          <t xml:space="preserve">
</t>
        </r>
        <r>
          <rPr>
            <sz val="9"/>
            <color rgb="FF000000"/>
            <rFont val="Tahoma"/>
            <family val="2"/>
          </rPr>
          <t>This field has to be filled with the information about the City/Town nearest to the power plant</t>
        </r>
      </text>
    </comment>
    <comment ref="P3" authorId="0" shapeId="0" xr:uid="{05B82B35-508C-4CF4-B0FE-DA30FBDFE71F}">
      <text>
        <r>
          <rPr>
            <b/>
            <sz val="9"/>
            <color rgb="FF000000"/>
            <rFont val="Tahoma"/>
            <family val="2"/>
          </rPr>
          <t>BaxEnergy:</t>
        </r>
        <r>
          <rPr>
            <sz val="9"/>
            <color rgb="FF000000"/>
            <rFont val="Tahoma"/>
            <family val="2"/>
          </rPr>
          <t xml:space="preserve">
</t>
        </r>
        <r>
          <rPr>
            <sz val="9"/>
            <color rgb="FF000000"/>
            <rFont val="Tahoma"/>
            <family val="2"/>
          </rPr>
          <t>This field has to be filled with the information about the latitude of the power plant</t>
        </r>
      </text>
    </comment>
    <comment ref="Q3" authorId="0" shapeId="0" xr:uid="{42B98CAB-69EF-4A45-AACF-060D24BF251D}">
      <text>
        <r>
          <rPr>
            <b/>
            <sz val="9"/>
            <color rgb="FF000000"/>
            <rFont val="Tahoma"/>
            <family val="2"/>
          </rPr>
          <t>BaxEnergy:</t>
        </r>
        <r>
          <rPr>
            <sz val="9"/>
            <color rgb="FF000000"/>
            <rFont val="Tahoma"/>
            <family val="2"/>
          </rPr>
          <t xml:space="preserve">
</t>
        </r>
        <r>
          <rPr>
            <sz val="9"/>
            <color rgb="FF000000"/>
            <rFont val="Tahoma"/>
            <family val="2"/>
          </rPr>
          <t>This field has to be filled with the information about the longitude of the power plant</t>
        </r>
      </text>
    </comment>
    <comment ref="R3" authorId="0" shapeId="0" xr:uid="{FDF1CAEB-E33A-3448-84F1-FBA207FAD163}">
      <text>
        <r>
          <rPr>
            <b/>
            <sz val="9"/>
            <color rgb="FF000000"/>
            <rFont val="Tahoma"/>
            <family val="2"/>
          </rPr>
          <t>BaxEnergy:</t>
        </r>
        <r>
          <rPr>
            <sz val="9"/>
            <color rgb="FF000000"/>
            <rFont val="Tahoma"/>
            <family val="2"/>
          </rPr>
          <t xml:space="preserve">
</t>
        </r>
        <r>
          <rPr>
            <sz val="9"/>
            <color rgb="FF000000"/>
            <rFont val="Tahoma"/>
            <family val="2"/>
          </rPr>
          <t>This field has to be filled with the information about the date of the commissioning of the power plant</t>
        </r>
      </text>
    </comment>
  </commentList>
</comments>
</file>

<file path=xl/sharedStrings.xml><?xml version="1.0" encoding="utf-8"?>
<sst xmlns="http://schemas.openxmlformats.org/spreadsheetml/2006/main" count="247" uniqueCount="89">
  <si>
    <t>CUSTOMER:</t>
  </si>
  <si>
    <t xml:space="preserve">Combined Heat and Power Producing Company Limited (CHPP) </t>
  </si>
  <si>
    <t>#</t>
  </si>
  <si>
    <t>Power Plant Name</t>
  </si>
  <si>
    <t>Technology
(eg.Wind, Solar, BESS)</t>
  </si>
  <si>
    <t>Nominal Power [kW]</t>
  </si>
  <si>
    <t>Revenue Meter Quantity (Unit)</t>
  </si>
  <si>
    <t>Asset OEM</t>
  </si>
  <si>
    <t>First level SCADA</t>
  </si>
  <si>
    <t>SCADA Real-time communication protocol</t>
  </si>
  <si>
    <t>SCADA Historical communication protocol</t>
  </si>
  <si>
    <t>VPN Type</t>
  </si>
  <si>
    <t>Unique point of acquisition (Yes/No)</t>
  </si>
  <si>
    <t>N. Production Units</t>
  </si>
  <si>
    <t xml:space="preserve">Number of tags per plant </t>
  </si>
  <si>
    <t>Country / Region</t>
  </si>
  <si>
    <t>City/Town</t>
  </si>
  <si>
    <t>GPS WGS84 Lat (Y)</t>
  </si>
  <si>
    <t>GPS WGS84 Lon (X)</t>
  </si>
  <si>
    <t>Commissioning date</t>
  </si>
  <si>
    <t>Solar1 (CHPP Solar Farm)</t>
  </si>
  <si>
    <t>Solar Farm</t>
  </si>
  <si>
    <t>SMA</t>
  </si>
  <si>
    <t>Note.3</t>
  </si>
  <si>
    <t>IEC104 and Modbus TCP IP</t>
  </si>
  <si>
    <t>SQL</t>
  </si>
  <si>
    <t>Local Server</t>
  </si>
  <si>
    <t>No</t>
  </si>
  <si>
    <t>to be advised</t>
  </si>
  <si>
    <t>Thailand</t>
  </si>
  <si>
    <t>Chanthaburi</t>
  </si>
  <si>
    <t>12.789507032666515, 101.85371778272273</t>
  </si>
  <si>
    <t xml:space="preserve">VISTEC I </t>
  </si>
  <si>
    <t>Solar Rooftop</t>
  </si>
  <si>
    <t>ABB</t>
  </si>
  <si>
    <t>Modbus TCP/IP</t>
  </si>
  <si>
    <t>API</t>
  </si>
  <si>
    <t>Note 1.</t>
  </si>
  <si>
    <t>Yes</t>
  </si>
  <si>
    <t>Rayong</t>
  </si>
  <si>
    <t>13.002153222221812, 101.44359586019007</t>
  </si>
  <si>
    <t xml:space="preserve">PTTOR Talingchan </t>
  </si>
  <si>
    <t>Huawei</t>
  </si>
  <si>
    <t>Note 2.</t>
  </si>
  <si>
    <t>Bangkok</t>
  </si>
  <si>
    <t>13.774093843871077, 100.40784282953098</t>
  </si>
  <si>
    <t xml:space="preserve">PTTOR Minburi </t>
  </si>
  <si>
    <t>13.819735685319092, 100.73394677510484</t>
  </si>
  <si>
    <t>KVIS I</t>
  </si>
  <si>
    <t>13.002018586393161, 101.44878183829535</t>
  </si>
  <si>
    <t xml:space="preserve">THAIOIL I </t>
  </si>
  <si>
    <t>Chonburi</t>
  </si>
  <si>
    <t>13.119515700671618, 100.91039120529314</t>
  </si>
  <si>
    <t xml:space="preserve">VISTEC II </t>
  </si>
  <si>
    <t>ABB&amp;Huawei</t>
  </si>
  <si>
    <t>THAIOIL II</t>
  </si>
  <si>
    <t>13.111712906986222, 100.9149190636746</t>
  </si>
  <si>
    <t xml:space="preserve">Future Flex </t>
  </si>
  <si>
    <t>Samutsakorn</t>
  </si>
  <si>
    <t>13.614695709571235, 100.23018120713184</t>
  </si>
  <si>
    <t xml:space="preserve">SUT </t>
  </si>
  <si>
    <t>Solar Rooftop+Floating</t>
  </si>
  <si>
    <t>Nakornrachsima</t>
  </si>
  <si>
    <t>14.881568342144755, 102.01813167457138</t>
  </si>
  <si>
    <t>PTTEP PTIC</t>
  </si>
  <si>
    <t>12.994556931421819, 101.44568417030047</t>
  </si>
  <si>
    <t xml:space="preserve">PTTEP RASC </t>
  </si>
  <si>
    <t>Soalr Floating</t>
  </si>
  <si>
    <t>12.703845245317975, 101.16120274014158</t>
  </si>
  <si>
    <t xml:space="preserve">AICA </t>
  </si>
  <si>
    <t>Ayutthaya</t>
  </si>
  <si>
    <t>14.294405228969916, 100.8052734824913</t>
  </si>
  <si>
    <t>INI</t>
  </si>
  <si>
    <t>Rooftop+Floating</t>
  </si>
  <si>
    <t>Huawei&amp;Solar Edge</t>
  </si>
  <si>
    <t>Modbus TCP/IP AND Modbus RTU</t>
  </si>
  <si>
    <t>14.28864105555519, 100.81064749228787</t>
  </si>
  <si>
    <t>Enter</t>
  </si>
  <si>
    <t>13.894580079069422, 100.5863786626875</t>
  </si>
  <si>
    <t>SURETEX</t>
  </si>
  <si>
    <t>Surathani</t>
  </si>
  <si>
    <t>9.07308280998622, 99.26644840570216</t>
  </si>
  <si>
    <t>KVIS II</t>
  </si>
  <si>
    <t>Note 4.</t>
  </si>
  <si>
    <t xml:space="preserve">Note </t>
  </si>
  <si>
    <t>Customer Network</t>
  </si>
  <si>
    <t>No VPN</t>
  </si>
  <si>
    <t>See detail in file "ข้อมูลออกแบบระบบ Deemed" Sheet Device List</t>
  </si>
  <si>
    <t>See detail in file "ข้อมูลออกแบบระบบ Deemed" IP List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</si>
</sst>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_(* #,##0_);_(* \(#,##0\);_(* &quot;-&quot;??_);_(@_)"/>
  </numFmts>
  <fonts count="17">
    <font>
      <sz val="10"/>
      <name val="Arial"/>
    </font>
    <font>
      <sz val="10"/>
      <name val="Comic Sans MS"/>
      <family val="4"/>
    </font>
    <font>
      <sz val="11"/>
      <color theme="1"/>
      <name val="Frutiger55Roman"/>
      <family val="2"/>
    </font>
    <font>
      <b/>
      <sz val="10"/>
      <color theme="0"/>
      <name val="Arial"/>
      <family val="2"/>
    </font>
    <font>
      <b/>
      <sz val="14"/>
      <color theme="0"/>
      <name val="Arial"/>
      <family val="2"/>
    </font>
    <font>
      <b/>
      <i/>
      <sz val="14"/>
      <color rgb="FF000000"/>
      <name val="Arial"/>
      <family val="2"/>
    </font>
    <font>
      <b/>
      <sz val="9"/>
      <color rgb="FF000000"/>
      <name val="Tahoma"/>
      <family val="2"/>
    </font>
    <font>
      <sz val="9"/>
      <color rgb="FF000000"/>
      <name val="Tahoma"/>
      <family val="2"/>
    </font>
    <font>
      <b/>
      <sz val="10"/>
      <name val="Calibri"/>
      <family val="2"/>
    </font>
    <font>
      <b/>
      <sz val="9"/>
      <color theme="0"/>
      <name val="Calibri"/>
      <family val="2"/>
    </font>
    <font>
      <b/>
      <sz val="12"/>
      <color theme="1"/>
      <name val="CalibrI"/>
      <family val="2"/>
    </font>
    <font>
      <sz val="12"/>
      <name val="Calibri"/>
      <family val="2"/>
    </font>
    <font>
      <sz val="10"/>
      <color rgb="FF000000"/>
      <name val="Tahoma"/>
      <family val="2"/>
    </font>
    <font>
      <b/>
      <sz val="10"/>
      <color rgb="FF000000"/>
      <name val="Tahoma"/>
      <family val="2"/>
    </font>
    <font>
      <sz val="10"/>
      <name val="Arial"/>
      <family val="2"/>
    </font>
    <font>
      <sz val="10"/>
      <name val="Calibri"/>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rgb="FF2F3092"/>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theme="0" tint="-0.24994659260841701"/>
      </left>
      <right style="thin">
        <color theme="0" tint="-0.24994659260841701"/>
      </right>
      <top/>
      <bottom/>
      <diagonal/>
    </border>
  </borders>
  <cellStyleXfs count="4">
    <xf numFmtId="0" fontId="0" fillId="0" borderId="0"/>
    <xf numFmtId="0" fontId="1" fillId="0" borderId="0"/>
    <xf numFmtId="0" fontId="2" fillId="0" borderId="0"/>
    <xf numFmtId="176" fontId="14" fillId="0" borderId="0" applyFont="0" applyFill="0" applyBorder="0" applyAlignment="0" applyProtection="0"/>
  </cellStyleXfs>
  <cellXfs count="22">
    <xf numFmtId="0" fontId="0" fillId="0" borderId="0" xfId="0"/>
    <xf numFmtId="0" fontId="3" fillId="2" borderId="0" xfId="0" applyFont="1" applyFill="1" applyAlignment="1">
      <alignment horizontal="center" vertical="center"/>
    </xf>
    <xf numFmtId="0" fontId="3" fillId="0" borderId="0" xfId="0" applyFont="1" applyAlignment="1">
      <alignment vertical="center"/>
    </xf>
    <xf numFmtId="14" fontId="0" fillId="0" borderId="0" xfId="0" applyNumberFormat="1"/>
    <xf numFmtId="0" fontId="5" fillId="0" borderId="0" xfId="0" applyFont="1" applyAlignment="1">
      <alignment horizontal="left" vertical="center"/>
    </xf>
    <xf numFmtId="0" fontId="8" fillId="0" borderId="1" xfId="0" applyFont="1" applyBorder="1"/>
    <xf numFmtId="2" fontId="9" fillId="3" borderId="2" xfId="0" applyNumberFormat="1" applyFont="1" applyFill="1" applyBorder="1" applyAlignment="1">
      <alignment horizontal="left" vertical="center" wrapText="1"/>
    </xf>
    <xf numFmtId="2" fontId="9" fillId="3" borderId="3" xfId="0" applyNumberFormat="1" applyFont="1" applyFill="1" applyBorder="1" applyAlignment="1">
      <alignment horizontal="left" vertical="center" wrapText="1"/>
    </xf>
    <xf numFmtId="14" fontId="9" fillId="3" borderId="4" xfId="0" applyNumberFormat="1" applyFont="1" applyFill="1" applyBorder="1" applyAlignment="1">
      <alignment horizontal="left" vertical="center" wrapText="1"/>
    </xf>
    <xf numFmtId="0" fontId="10" fillId="2" borderId="0" xfId="0" applyFont="1" applyFill="1" applyAlignment="1">
      <alignment horizontal="center" vertical="center"/>
    </xf>
    <xf numFmtId="0" fontId="8" fillId="0" borderId="1" xfId="0" applyFont="1" applyBorder="1" applyAlignment="1">
      <alignment wrapText="1"/>
    </xf>
    <xf numFmtId="0" fontId="4" fillId="0" borderId="0" xfId="0" applyFont="1" applyAlignment="1">
      <alignment vertical="center"/>
    </xf>
    <xf numFmtId="0" fontId="15" fillId="0" borderId="1" xfId="0" applyFont="1" applyBorder="1"/>
    <xf numFmtId="177" fontId="15" fillId="0" borderId="1" xfId="3" applyNumberFormat="1" applyFont="1" applyBorder="1"/>
    <xf numFmtId="0" fontId="11" fillId="0" borderId="0" xfId="0" applyFont="1" applyAlignment="1">
      <alignment horizontal="left" vertical="center"/>
    </xf>
    <xf numFmtId="0" fontId="14" fillId="0" borderId="0" xfId="0" applyFont="1"/>
    <xf numFmtId="0" fontId="8" fillId="0" borderId="0" xfId="0" applyFont="1"/>
    <xf numFmtId="0" fontId="15" fillId="0" borderId="0" xfId="0" applyFont="1"/>
    <xf numFmtId="0" fontId="8" fillId="0" borderId="0" xfId="0" applyFont="1" applyAlignment="1">
      <alignment horizontal="center"/>
    </xf>
    <xf numFmtId="0" fontId="0" fillId="0" borderId="0" xfId="0" applyAlignment="1">
      <alignment horizontal="center"/>
    </xf>
    <xf numFmtId="0" fontId="8" fillId="0" borderId="5" xfId="0" applyFont="1" applyBorder="1"/>
    <xf numFmtId="14" fontId="8" fillId="0" borderId="1" xfId="0" applyNumberFormat="1" applyFont="1" applyBorder="1"/>
  </cellXfs>
  <cellStyles count="4">
    <cellStyle name="Comma" xfId="3" builtinId="3"/>
    <cellStyle name="Normal" xfId="0" builtinId="0"/>
    <cellStyle name="Normal 2" xfId="1" xr:uid="{00000000-0005-0000-0000-000000000000}"/>
    <cellStyle name="Normal 3" xfId="2" xr:uid="{00000000-0005-0000-0000-000001000000}"/>
  </cellStyles>
  <dxfs count="0"/>
  <tableStyles count="0" defaultTableStyle="TableStyleMedium9" defaultPivotStyle="PivotStyleLight16"/>
  <colors>
    <mruColors>
      <color rgb="FF2F3092"/>
      <color rgb="FFFF8C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327169</xdr:rowOff>
    </xdr:from>
    <xdr:to>
      <xdr:col>1</xdr:col>
      <xdr:colOff>605992</xdr:colOff>
      <xdr:row>0</xdr:row>
      <xdr:rowOff>523942</xdr:rowOff>
    </xdr:to>
    <xdr:pic>
      <xdr:nvPicPr>
        <xdr:cNvPr id="7" name="Picture 6">
          <a:extLst>
            <a:ext uri="{FF2B5EF4-FFF2-40B4-BE49-F238E27FC236}">
              <a16:creationId xmlns:a16="http://schemas.microsoft.com/office/drawing/2014/main" id="{7CE2E71F-659C-B4CA-87B7-1C7472AD1E8F}"/>
            </a:ext>
          </a:extLst>
        </xdr:cNvPr>
        <xdr:cNvPicPr>
          <a:picLocks noChangeAspect="1"/>
        </xdr:cNvPicPr>
      </xdr:nvPicPr>
      <xdr:blipFill>
        <a:blip xmlns:r="http://schemas.openxmlformats.org/officeDocument/2006/relationships" r:embed="rId1"/>
        <a:stretch>
          <a:fillRect/>
        </a:stretch>
      </xdr:blipFill>
      <xdr:spPr>
        <a:xfrm>
          <a:off x="0" y="327169"/>
          <a:ext cx="1298711" cy="196773"/>
        </a:xfrm>
        <a:prstGeom prst="rect">
          <a:avLst/>
        </a:prstGeom>
      </xdr:spPr>
    </xdr:pic>
    <xdr:clientData/>
  </xdr:twoCellAnchor>
  <xdr:twoCellAnchor editAs="oneCell">
    <xdr:from>
      <xdr:col>0</xdr:col>
      <xdr:colOff>62130</xdr:colOff>
      <xdr:row>0</xdr:row>
      <xdr:rowOff>36576</xdr:rowOff>
    </xdr:from>
    <xdr:to>
      <xdr:col>1</xdr:col>
      <xdr:colOff>508895</xdr:colOff>
      <xdr:row>0</xdr:row>
      <xdr:rowOff>298779</xdr:rowOff>
    </xdr:to>
    <xdr:pic>
      <xdr:nvPicPr>
        <xdr:cNvPr id="8" name="Immagine 5" descr="Immagine che contiene testo, Carattere, Elementi grafici, grafica&#10;&#10;Descrizione generata automaticamente">
          <a:extLst>
            <a:ext uri="{FF2B5EF4-FFF2-40B4-BE49-F238E27FC236}">
              <a16:creationId xmlns:a16="http://schemas.microsoft.com/office/drawing/2014/main" id="{10956F46-AAE6-4480-4546-8E40250907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130" y="36576"/>
          <a:ext cx="1143294" cy="25839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
  <sheetViews>
    <sheetView showGridLines="0" tabSelected="1" zoomScale="145" zoomScaleNormal="145" workbookViewId="0">
      <pane xSplit="2" ySplit="3" topLeftCell="C4" activePane="bottomRight" state="frozen"/>
      <selection pane="bottomRight" activeCell="P19" sqref="P19"/>
      <selection pane="bottomLeft" activeCell="A4" sqref="A4"/>
      <selection pane="topRight" activeCell="C1" sqref="C1"/>
    </sheetView>
  </sheetViews>
  <sheetFormatPr defaultColWidth="9.140625" defaultRowHeight="12.75"/>
  <cols>
    <col min="1" max="1" width="8.7109375" customWidth="1"/>
    <col min="2" max="2" width="47.28515625" customWidth="1"/>
    <col min="3" max="3" width="19.42578125" customWidth="1"/>
    <col min="4" max="5" width="14.140625" hidden="1" customWidth="1"/>
    <col min="6" max="6" width="18.5703125" customWidth="1"/>
    <col min="7" max="7" width="11.5703125" bestFit="1" customWidth="1"/>
    <col min="8" max="8" width="28.85546875" bestFit="1" customWidth="1"/>
    <col min="9" max="9" width="19.42578125" customWidth="1"/>
    <col min="10" max="10" width="23" bestFit="1" customWidth="1"/>
    <col min="11" max="11" width="14.5703125" customWidth="1"/>
    <col min="12" max="12" width="13.42578125" bestFit="1" customWidth="1"/>
    <col min="13" max="13" width="17" bestFit="1" customWidth="1"/>
    <col min="14" max="14" width="11.85546875" bestFit="1" customWidth="1"/>
    <col min="15" max="15" width="13.28515625" bestFit="1" customWidth="1"/>
    <col min="16" max="17" width="18.7109375" bestFit="1" customWidth="1"/>
    <col min="18" max="18" width="13.85546875" bestFit="1" customWidth="1"/>
    <col min="19" max="19" width="16.42578125" hidden="1" customWidth="1"/>
    <col min="20" max="20" width="16.42578125" style="3" customWidth="1"/>
  </cols>
  <sheetData>
    <row r="1" spans="1:20" ht="45.95" customHeight="1">
      <c r="A1" s="2"/>
      <c r="C1" s="11"/>
      <c r="D1" s="11"/>
      <c r="E1" s="11"/>
      <c r="F1" s="11"/>
      <c r="G1" s="11"/>
      <c r="H1" s="11"/>
      <c r="I1" s="11"/>
      <c r="J1" s="11"/>
      <c r="K1" s="11"/>
      <c r="L1" s="11"/>
      <c r="M1" s="11"/>
      <c r="N1" s="11"/>
      <c r="O1" s="11"/>
      <c r="P1" s="11"/>
      <c r="Q1" s="11"/>
      <c r="R1" s="11"/>
      <c r="T1"/>
    </row>
    <row r="2" spans="1:20" ht="24.95" customHeight="1" thickBot="1">
      <c r="A2" s="9" t="s">
        <v>0</v>
      </c>
      <c r="B2" s="14" t="s">
        <v>1</v>
      </c>
      <c r="C2" s="4"/>
      <c r="G2" s="1"/>
      <c r="H2" s="1"/>
      <c r="I2" s="1"/>
      <c r="J2" s="1"/>
      <c r="K2" s="1"/>
      <c r="L2" s="1"/>
      <c r="M2" s="1"/>
      <c r="N2" s="1"/>
      <c r="O2" s="1"/>
      <c r="T2"/>
    </row>
    <row r="3" spans="1:20" ht="36">
      <c r="A3" s="6" t="s">
        <v>2</v>
      </c>
      <c r="B3" s="7" t="s">
        <v>3</v>
      </c>
      <c r="C3" s="7" t="s">
        <v>4</v>
      </c>
      <c r="D3" s="7" t="s">
        <v>5</v>
      </c>
      <c r="E3" s="7" t="s">
        <v>6</v>
      </c>
      <c r="F3" s="7" t="s">
        <v>7</v>
      </c>
      <c r="G3" s="7" t="s">
        <v>8</v>
      </c>
      <c r="H3" s="7" t="s">
        <v>9</v>
      </c>
      <c r="I3" s="7" t="s">
        <v>10</v>
      </c>
      <c r="J3" s="7" t="s">
        <v>11</v>
      </c>
      <c r="K3" s="7" t="s">
        <v>12</v>
      </c>
      <c r="L3" s="7" t="s">
        <v>13</v>
      </c>
      <c r="M3" s="7" t="s">
        <v>14</v>
      </c>
      <c r="N3" s="7" t="s">
        <v>15</v>
      </c>
      <c r="O3" s="7" t="s">
        <v>16</v>
      </c>
      <c r="P3" s="7" t="s">
        <v>17</v>
      </c>
      <c r="Q3" s="7" t="s">
        <v>18</v>
      </c>
      <c r="R3" s="8" t="s">
        <v>19</v>
      </c>
      <c r="T3"/>
    </row>
    <row r="4" spans="1:20">
      <c r="A4" s="5">
        <v>1</v>
      </c>
      <c r="B4" s="12" t="s">
        <v>20</v>
      </c>
      <c r="C4" s="12" t="s">
        <v>21</v>
      </c>
      <c r="D4" s="13">
        <v>5000</v>
      </c>
      <c r="E4" s="13">
        <v>1</v>
      </c>
      <c r="F4" s="5" t="s">
        <v>22</v>
      </c>
      <c r="G4" s="5" t="s">
        <v>23</v>
      </c>
      <c r="H4" s="10" t="s">
        <v>24</v>
      </c>
      <c r="I4" s="10" t="s">
        <v>25</v>
      </c>
      <c r="J4" s="5" t="s">
        <v>26</v>
      </c>
      <c r="K4" s="5" t="s">
        <v>27</v>
      </c>
      <c r="L4" s="5" t="s">
        <v>23</v>
      </c>
      <c r="M4" s="5" t="s">
        <v>28</v>
      </c>
      <c r="N4" s="12" t="s">
        <v>29</v>
      </c>
      <c r="O4" s="12" t="s">
        <v>30</v>
      </c>
      <c r="P4" s="5" t="str">
        <f>RIGHT(S4,FIND(",",S4)-1)</f>
        <v>101.85371778272273</v>
      </c>
      <c r="Q4" s="5" t="str">
        <f>LEFT(S4,FIND(",",S4)-1)</f>
        <v>12.789507032666515</v>
      </c>
      <c r="R4" s="21">
        <v>43070</v>
      </c>
      <c r="S4" s="15" t="s">
        <v>31</v>
      </c>
      <c r="T4"/>
    </row>
    <row r="5" spans="1:20">
      <c r="A5" s="5">
        <v>2</v>
      </c>
      <c r="B5" s="12" t="s">
        <v>32</v>
      </c>
      <c r="C5" s="12" t="s">
        <v>33</v>
      </c>
      <c r="D5" s="13">
        <v>500</v>
      </c>
      <c r="E5" s="13">
        <v>6</v>
      </c>
      <c r="F5" s="5" t="s">
        <v>34</v>
      </c>
      <c r="G5" s="5" t="s">
        <v>23</v>
      </c>
      <c r="H5" s="5" t="s">
        <v>35</v>
      </c>
      <c r="I5" s="5" t="s">
        <v>36</v>
      </c>
      <c r="J5" s="5" t="s">
        <v>37</v>
      </c>
      <c r="K5" s="5" t="s">
        <v>38</v>
      </c>
      <c r="L5" s="5" t="s">
        <v>23</v>
      </c>
      <c r="M5" s="5" t="s">
        <v>28</v>
      </c>
      <c r="N5" s="12" t="s">
        <v>29</v>
      </c>
      <c r="O5" s="12" t="s">
        <v>39</v>
      </c>
      <c r="P5" s="5" t="str">
        <f t="shared" ref="P5:P20" si="0">RIGHT(S5,FIND(",",S5)-1)</f>
        <v>101.44359586019007</v>
      </c>
      <c r="Q5" s="5" t="str">
        <f t="shared" ref="Q5:Q20" si="1">LEFT(S5,FIND(",",S5)-1)</f>
        <v>13.002153222221812</v>
      </c>
      <c r="R5" s="21">
        <v>43952</v>
      </c>
      <c r="S5" t="s">
        <v>40</v>
      </c>
      <c r="T5"/>
    </row>
    <row r="6" spans="1:20">
      <c r="A6" s="5">
        <v>3</v>
      </c>
      <c r="B6" s="12" t="s">
        <v>41</v>
      </c>
      <c r="C6" s="12" t="s">
        <v>33</v>
      </c>
      <c r="D6" s="13">
        <v>48</v>
      </c>
      <c r="E6" s="13">
        <v>1</v>
      </c>
      <c r="F6" s="5" t="s">
        <v>42</v>
      </c>
      <c r="G6" s="5" t="s">
        <v>23</v>
      </c>
      <c r="H6" s="5" t="s">
        <v>35</v>
      </c>
      <c r="I6" s="5" t="s">
        <v>36</v>
      </c>
      <c r="J6" s="5" t="s">
        <v>43</v>
      </c>
      <c r="K6" s="5" t="s">
        <v>38</v>
      </c>
      <c r="L6" s="5" t="s">
        <v>23</v>
      </c>
      <c r="M6" s="5" t="s">
        <v>28</v>
      </c>
      <c r="N6" s="12" t="s">
        <v>29</v>
      </c>
      <c r="O6" s="12" t="s">
        <v>44</v>
      </c>
      <c r="P6" s="5" t="str">
        <f t="shared" si="0"/>
        <v>100.40784282953098</v>
      </c>
      <c r="Q6" s="5" t="str">
        <f t="shared" si="1"/>
        <v>13.774093843871077</v>
      </c>
      <c r="R6" s="21">
        <v>44105</v>
      </c>
      <c r="S6" t="s">
        <v>45</v>
      </c>
      <c r="T6"/>
    </row>
    <row r="7" spans="1:20">
      <c r="A7" s="5">
        <v>4</v>
      </c>
      <c r="B7" s="12" t="s">
        <v>46</v>
      </c>
      <c r="C7" s="12" t="s">
        <v>33</v>
      </c>
      <c r="D7" s="13">
        <v>127</v>
      </c>
      <c r="E7" s="13">
        <v>2</v>
      </c>
      <c r="F7" s="5" t="s">
        <v>42</v>
      </c>
      <c r="G7" s="5" t="s">
        <v>23</v>
      </c>
      <c r="H7" s="5" t="s">
        <v>35</v>
      </c>
      <c r="I7" s="5" t="s">
        <v>36</v>
      </c>
      <c r="J7" s="5" t="s">
        <v>43</v>
      </c>
      <c r="K7" s="5" t="s">
        <v>38</v>
      </c>
      <c r="L7" s="5" t="s">
        <v>23</v>
      </c>
      <c r="M7" s="5" t="s">
        <v>28</v>
      </c>
      <c r="N7" s="12" t="s">
        <v>29</v>
      </c>
      <c r="O7" s="12" t="s">
        <v>44</v>
      </c>
      <c r="P7" s="5" t="str">
        <f t="shared" si="0"/>
        <v>100.73394677510484</v>
      </c>
      <c r="Q7" s="5" t="str">
        <f t="shared" si="1"/>
        <v>13.819735685319092</v>
      </c>
      <c r="R7" s="21">
        <v>44105</v>
      </c>
      <c r="S7" t="s">
        <v>47</v>
      </c>
      <c r="T7"/>
    </row>
    <row r="8" spans="1:20">
      <c r="A8" s="5">
        <v>5</v>
      </c>
      <c r="B8" s="12" t="s">
        <v>48</v>
      </c>
      <c r="C8" s="12" t="s">
        <v>33</v>
      </c>
      <c r="D8" s="13">
        <v>100</v>
      </c>
      <c r="E8" s="13">
        <v>1</v>
      </c>
      <c r="F8" s="5" t="s">
        <v>34</v>
      </c>
      <c r="G8" s="5" t="s">
        <v>23</v>
      </c>
      <c r="H8" s="5" t="s">
        <v>35</v>
      </c>
      <c r="I8" s="5" t="s">
        <v>36</v>
      </c>
      <c r="J8" s="5" t="s">
        <v>37</v>
      </c>
      <c r="K8" s="5" t="s">
        <v>38</v>
      </c>
      <c r="L8" s="5" t="s">
        <v>23</v>
      </c>
      <c r="M8" s="5" t="s">
        <v>28</v>
      </c>
      <c r="N8" s="12" t="s">
        <v>29</v>
      </c>
      <c r="O8" s="12" t="s">
        <v>39</v>
      </c>
      <c r="P8" s="5" t="str">
        <f t="shared" si="0"/>
        <v>101.44878183829535</v>
      </c>
      <c r="Q8" s="5" t="str">
        <f t="shared" si="1"/>
        <v>13.002018586393161</v>
      </c>
      <c r="R8" s="21">
        <v>44501</v>
      </c>
      <c r="S8" t="s">
        <v>49</v>
      </c>
      <c r="T8"/>
    </row>
    <row r="9" spans="1:20">
      <c r="A9" s="5">
        <v>6</v>
      </c>
      <c r="B9" s="12" t="s">
        <v>50</v>
      </c>
      <c r="C9" s="12" t="s">
        <v>33</v>
      </c>
      <c r="D9" s="13">
        <v>500</v>
      </c>
      <c r="E9" s="13">
        <v>1</v>
      </c>
      <c r="F9" s="5" t="s">
        <v>42</v>
      </c>
      <c r="G9" s="5" t="s">
        <v>23</v>
      </c>
      <c r="H9" s="5" t="s">
        <v>35</v>
      </c>
      <c r="I9" s="5" t="s">
        <v>36</v>
      </c>
      <c r="J9" s="5" t="s">
        <v>43</v>
      </c>
      <c r="K9" s="5" t="s">
        <v>38</v>
      </c>
      <c r="L9" s="5" t="s">
        <v>23</v>
      </c>
      <c r="M9" s="5" t="s">
        <v>28</v>
      </c>
      <c r="N9" s="12" t="s">
        <v>29</v>
      </c>
      <c r="O9" s="12" t="s">
        <v>51</v>
      </c>
      <c r="P9" s="5" t="str">
        <f t="shared" si="0"/>
        <v>100.91039120529314</v>
      </c>
      <c r="Q9" s="5" t="str">
        <f t="shared" si="1"/>
        <v>13.119515700671618</v>
      </c>
      <c r="R9" s="21">
        <v>43831</v>
      </c>
      <c r="S9" t="s">
        <v>52</v>
      </c>
      <c r="T9"/>
    </row>
    <row r="10" spans="1:20">
      <c r="A10" s="5">
        <v>7</v>
      </c>
      <c r="B10" s="12" t="s">
        <v>53</v>
      </c>
      <c r="C10" s="12" t="s">
        <v>33</v>
      </c>
      <c r="D10" s="13">
        <v>890</v>
      </c>
      <c r="E10" s="13">
        <v>3</v>
      </c>
      <c r="F10" s="5" t="s">
        <v>54</v>
      </c>
      <c r="G10" s="5" t="s">
        <v>23</v>
      </c>
      <c r="H10" s="5" t="s">
        <v>35</v>
      </c>
      <c r="I10" s="5" t="s">
        <v>36</v>
      </c>
      <c r="J10" s="5" t="s">
        <v>37</v>
      </c>
      <c r="K10" s="5" t="s">
        <v>38</v>
      </c>
      <c r="L10" s="5" t="s">
        <v>23</v>
      </c>
      <c r="M10" s="5" t="s">
        <v>28</v>
      </c>
      <c r="N10" s="12" t="s">
        <v>29</v>
      </c>
      <c r="O10" s="12" t="s">
        <v>39</v>
      </c>
      <c r="P10" s="5" t="str">
        <f t="shared" si="0"/>
        <v>101.44359586019007</v>
      </c>
      <c r="Q10" s="5" t="str">
        <f t="shared" si="1"/>
        <v>13.002153222221812</v>
      </c>
      <c r="R10" s="21">
        <v>44682</v>
      </c>
      <c r="S10" t="s">
        <v>40</v>
      </c>
      <c r="T10"/>
    </row>
    <row r="11" spans="1:20">
      <c r="A11" s="5">
        <v>8</v>
      </c>
      <c r="B11" s="12" t="s">
        <v>55</v>
      </c>
      <c r="C11" s="12" t="s">
        <v>33</v>
      </c>
      <c r="D11" s="13">
        <v>500</v>
      </c>
      <c r="E11" s="13">
        <v>4</v>
      </c>
      <c r="F11" s="5" t="s">
        <v>42</v>
      </c>
      <c r="G11" s="5" t="s">
        <v>23</v>
      </c>
      <c r="H11" s="5" t="s">
        <v>35</v>
      </c>
      <c r="I11" s="5" t="s">
        <v>36</v>
      </c>
      <c r="J11" s="5" t="s">
        <v>43</v>
      </c>
      <c r="K11" s="5" t="s">
        <v>38</v>
      </c>
      <c r="L11" s="5" t="s">
        <v>23</v>
      </c>
      <c r="M11" s="5" t="s">
        <v>28</v>
      </c>
      <c r="N11" s="12" t="s">
        <v>29</v>
      </c>
      <c r="O11" s="12" t="s">
        <v>51</v>
      </c>
      <c r="P11" s="5" t="str">
        <f t="shared" si="0"/>
        <v xml:space="preserve"> 100.9149190636746</v>
      </c>
      <c r="Q11" s="5" t="str">
        <f t="shared" si="1"/>
        <v>13.111712906986222</v>
      </c>
      <c r="R11" s="21">
        <v>44713</v>
      </c>
      <c r="S11" t="s">
        <v>56</v>
      </c>
      <c r="T11"/>
    </row>
    <row r="12" spans="1:20">
      <c r="A12" s="5">
        <v>9</v>
      </c>
      <c r="B12" s="12" t="s">
        <v>57</v>
      </c>
      <c r="C12" s="12" t="s">
        <v>33</v>
      </c>
      <c r="D12" s="13">
        <v>904</v>
      </c>
      <c r="E12" s="13">
        <v>2</v>
      </c>
      <c r="F12" s="5" t="s">
        <v>42</v>
      </c>
      <c r="G12" s="5" t="s">
        <v>23</v>
      </c>
      <c r="H12" s="5" t="s">
        <v>35</v>
      </c>
      <c r="I12" s="5" t="s">
        <v>36</v>
      </c>
      <c r="J12" s="5" t="s">
        <v>43</v>
      </c>
      <c r="K12" s="5" t="s">
        <v>38</v>
      </c>
      <c r="L12" s="5" t="s">
        <v>23</v>
      </c>
      <c r="M12" s="5" t="s">
        <v>28</v>
      </c>
      <c r="N12" s="12" t="s">
        <v>29</v>
      </c>
      <c r="O12" s="12" t="s">
        <v>58</v>
      </c>
      <c r="P12" s="5" t="str">
        <f t="shared" si="0"/>
        <v>100.23018120713184</v>
      </c>
      <c r="Q12" s="5" t="str">
        <f t="shared" si="1"/>
        <v>13.614695709571235</v>
      </c>
      <c r="R12" s="21">
        <v>44896</v>
      </c>
      <c r="S12" t="s">
        <v>59</v>
      </c>
    </row>
    <row r="13" spans="1:20">
      <c r="A13" s="5">
        <v>10</v>
      </c>
      <c r="B13" s="12" t="s">
        <v>60</v>
      </c>
      <c r="C13" s="12" t="s">
        <v>61</v>
      </c>
      <c r="D13" s="13">
        <v>6000</v>
      </c>
      <c r="E13" s="13">
        <v>6</v>
      </c>
      <c r="F13" s="5" t="s">
        <v>42</v>
      </c>
      <c r="G13" s="5" t="s">
        <v>23</v>
      </c>
      <c r="H13" s="5" t="s">
        <v>35</v>
      </c>
      <c r="I13" s="5" t="s">
        <v>36</v>
      </c>
      <c r="J13" s="5" t="s">
        <v>37</v>
      </c>
      <c r="K13" s="5" t="s">
        <v>38</v>
      </c>
      <c r="L13" s="5" t="s">
        <v>23</v>
      </c>
      <c r="M13" s="5" t="s">
        <v>28</v>
      </c>
      <c r="N13" s="12" t="s">
        <v>29</v>
      </c>
      <c r="O13" s="12" t="s">
        <v>62</v>
      </c>
      <c r="P13" s="5" t="str">
        <f t="shared" si="0"/>
        <v>102.01813167457138</v>
      </c>
      <c r="Q13" s="5" t="str">
        <f t="shared" si="1"/>
        <v>14.881568342144755</v>
      </c>
      <c r="R13" s="21">
        <v>44958</v>
      </c>
      <c r="S13" t="s">
        <v>63</v>
      </c>
    </row>
    <row r="14" spans="1:20">
      <c r="A14" s="5">
        <v>11</v>
      </c>
      <c r="B14" s="12" t="s">
        <v>64</v>
      </c>
      <c r="C14" s="12" t="s">
        <v>33</v>
      </c>
      <c r="D14" s="13">
        <v>237.62</v>
      </c>
      <c r="E14" s="13">
        <v>1</v>
      </c>
      <c r="F14" s="5" t="s">
        <v>42</v>
      </c>
      <c r="G14" s="5" t="s">
        <v>23</v>
      </c>
      <c r="H14" s="5" t="s">
        <v>35</v>
      </c>
      <c r="I14" s="5" t="s">
        <v>36</v>
      </c>
      <c r="J14" s="5" t="s">
        <v>43</v>
      </c>
      <c r="K14" s="5" t="s">
        <v>38</v>
      </c>
      <c r="L14" s="5" t="s">
        <v>23</v>
      </c>
      <c r="M14" s="5" t="s">
        <v>28</v>
      </c>
      <c r="N14" s="12" t="s">
        <v>29</v>
      </c>
      <c r="O14" s="12" t="s">
        <v>39</v>
      </c>
      <c r="P14" s="5" t="str">
        <f t="shared" si="0"/>
        <v>101.44568417030047</v>
      </c>
      <c r="Q14" s="5" t="str">
        <f t="shared" si="1"/>
        <v>12.994556931421819</v>
      </c>
      <c r="R14" s="21">
        <v>45200</v>
      </c>
      <c r="S14" t="s">
        <v>65</v>
      </c>
    </row>
    <row r="15" spans="1:20">
      <c r="A15" s="5">
        <v>12</v>
      </c>
      <c r="B15" s="12" t="s">
        <v>66</v>
      </c>
      <c r="C15" s="12" t="s">
        <v>67</v>
      </c>
      <c r="D15" s="13">
        <v>281.88</v>
      </c>
      <c r="E15" s="13">
        <v>1</v>
      </c>
      <c r="F15" s="5" t="s">
        <v>42</v>
      </c>
      <c r="G15" s="5" t="s">
        <v>23</v>
      </c>
      <c r="H15" s="5" t="s">
        <v>35</v>
      </c>
      <c r="I15" s="5" t="s">
        <v>36</v>
      </c>
      <c r="J15" s="5" t="s">
        <v>43</v>
      </c>
      <c r="K15" s="5" t="s">
        <v>38</v>
      </c>
      <c r="L15" s="5" t="s">
        <v>23</v>
      </c>
      <c r="M15" s="5" t="s">
        <v>28</v>
      </c>
      <c r="N15" s="12" t="s">
        <v>29</v>
      </c>
      <c r="O15" s="12" t="s">
        <v>39</v>
      </c>
      <c r="P15" s="5" t="str">
        <f t="shared" si="0"/>
        <v>101.16120274014158</v>
      </c>
      <c r="Q15" s="5" t="str">
        <f t="shared" si="1"/>
        <v>12.703845245317975</v>
      </c>
      <c r="R15" s="21">
        <v>45200</v>
      </c>
      <c r="S15" t="s">
        <v>68</v>
      </c>
    </row>
    <row r="16" spans="1:20">
      <c r="A16" s="5">
        <v>13</v>
      </c>
      <c r="B16" s="12" t="s">
        <v>69</v>
      </c>
      <c r="C16" s="12" t="s">
        <v>33</v>
      </c>
      <c r="D16" s="13">
        <v>3800</v>
      </c>
      <c r="E16" s="13">
        <v>2</v>
      </c>
      <c r="F16" s="5" t="s">
        <v>42</v>
      </c>
      <c r="G16" s="5" t="s">
        <v>23</v>
      </c>
      <c r="H16" s="5" t="s">
        <v>35</v>
      </c>
      <c r="I16" s="5" t="s">
        <v>36</v>
      </c>
      <c r="J16" s="5" t="s">
        <v>43</v>
      </c>
      <c r="K16" s="5" t="s">
        <v>38</v>
      </c>
      <c r="L16" s="5" t="s">
        <v>23</v>
      </c>
      <c r="M16" s="5" t="s">
        <v>28</v>
      </c>
      <c r="N16" s="12" t="s">
        <v>29</v>
      </c>
      <c r="O16" s="12" t="s">
        <v>70</v>
      </c>
      <c r="P16" s="5" t="str">
        <f t="shared" si="0"/>
        <v xml:space="preserve"> 100.8052734824913</v>
      </c>
      <c r="Q16" s="5" t="str">
        <f t="shared" si="1"/>
        <v>14.294405228969916</v>
      </c>
      <c r="R16" s="21">
        <v>45231</v>
      </c>
      <c r="S16" t="s">
        <v>71</v>
      </c>
    </row>
    <row r="17" spans="1:19">
      <c r="A17" s="5">
        <v>14</v>
      </c>
      <c r="B17" s="12" t="s">
        <v>72</v>
      </c>
      <c r="C17" s="12" t="s">
        <v>73</v>
      </c>
      <c r="D17" s="13">
        <v>1600</v>
      </c>
      <c r="E17" s="13">
        <v>2</v>
      </c>
      <c r="F17" s="5" t="s">
        <v>74</v>
      </c>
      <c r="G17" s="5" t="s">
        <v>23</v>
      </c>
      <c r="H17" s="5" t="s">
        <v>75</v>
      </c>
      <c r="I17" s="5" t="s">
        <v>36</v>
      </c>
      <c r="J17" s="5" t="s">
        <v>43</v>
      </c>
      <c r="K17" s="5" t="s">
        <v>38</v>
      </c>
      <c r="L17" s="5" t="s">
        <v>23</v>
      </c>
      <c r="M17" s="5" t="s">
        <v>28</v>
      </c>
      <c r="N17" s="12" t="s">
        <v>29</v>
      </c>
      <c r="O17" s="12" t="s">
        <v>70</v>
      </c>
      <c r="P17" s="5" t="str">
        <f t="shared" si="0"/>
        <v>00.81064749228787</v>
      </c>
      <c r="Q17" s="5" t="str">
        <f t="shared" si="1"/>
        <v>14.28864105555519</v>
      </c>
      <c r="R17" s="21">
        <v>45498</v>
      </c>
      <c r="S17" t="s">
        <v>76</v>
      </c>
    </row>
    <row r="18" spans="1:19">
      <c r="A18" s="5">
        <v>15</v>
      </c>
      <c r="B18" s="12" t="s">
        <v>77</v>
      </c>
      <c r="C18" s="12" t="s">
        <v>33</v>
      </c>
      <c r="D18" s="13">
        <v>548.29999999999995</v>
      </c>
      <c r="E18" s="13">
        <v>2</v>
      </c>
      <c r="F18" s="5" t="s">
        <v>42</v>
      </c>
      <c r="G18" s="5" t="s">
        <v>23</v>
      </c>
      <c r="H18" s="5" t="s">
        <v>35</v>
      </c>
      <c r="I18" s="5" t="s">
        <v>36</v>
      </c>
      <c r="J18" s="5" t="s">
        <v>43</v>
      </c>
      <c r="K18" s="5" t="s">
        <v>38</v>
      </c>
      <c r="L18" s="5" t="s">
        <v>23</v>
      </c>
      <c r="M18" s="5" t="s">
        <v>28</v>
      </c>
      <c r="N18" s="12" t="s">
        <v>29</v>
      </c>
      <c r="O18" s="12" t="s">
        <v>44</v>
      </c>
      <c r="P18" s="5" t="str">
        <f t="shared" si="0"/>
        <v xml:space="preserve"> 100.5863786626875</v>
      </c>
      <c r="Q18" s="5" t="str">
        <f t="shared" si="1"/>
        <v>13.894580079069422</v>
      </c>
      <c r="R18" s="21">
        <v>45566</v>
      </c>
      <c r="S18" t="s">
        <v>78</v>
      </c>
    </row>
    <row r="19" spans="1:19">
      <c r="A19" s="5">
        <v>16</v>
      </c>
      <c r="B19" s="12" t="s">
        <v>79</v>
      </c>
      <c r="C19" s="12" t="s">
        <v>33</v>
      </c>
      <c r="D19" s="13">
        <v>3000</v>
      </c>
      <c r="E19" s="13">
        <v>2</v>
      </c>
      <c r="F19" s="5" t="s">
        <v>42</v>
      </c>
      <c r="G19" s="5" t="s">
        <v>23</v>
      </c>
      <c r="H19" s="5" t="s">
        <v>35</v>
      </c>
      <c r="I19" s="5" t="s">
        <v>36</v>
      </c>
      <c r="J19" s="5" t="s">
        <v>37</v>
      </c>
      <c r="K19" s="5" t="s">
        <v>38</v>
      </c>
      <c r="L19" s="5" t="s">
        <v>23</v>
      </c>
      <c r="M19" s="5" t="s">
        <v>28</v>
      </c>
      <c r="N19" s="12" t="s">
        <v>29</v>
      </c>
      <c r="O19" s="12" t="s">
        <v>80</v>
      </c>
      <c r="P19" s="5" t="str">
        <f t="shared" si="0"/>
        <v>9.26644840570216</v>
      </c>
      <c r="Q19" s="5" t="str">
        <f t="shared" si="1"/>
        <v>9.07308280998622</v>
      </c>
      <c r="R19" s="21">
        <v>45536</v>
      </c>
      <c r="S19" t="s">
        <v>81</v>
      </c>
    </row>
    <row r="20" spans="1:19">
      <c r="A20" s="5">
        <v>17</v>
      </c>
      <c r="B20" s="12" t="s">
        <v>82</v>
      </c>
      <c r="C20" s="12" t="s">
        <v>33</v>
      </c>
      <c r="D20" s="13">
        <v>88</v>
      </c>
      <c r="E20" s="13">
        <v>1</v>
      </c>
      <c r="F20" s="5" t="s">
        <v>42</v>
      </c>
      <c r="G20" s="5" t="s">
        <v>23</v>
      </c>
      <c r="H20" s="5" t="s">
        <v>35</v>
      </c>
      <c r="I20" s="5" t="s">
        <v>36</v>
      </c>
      <c r="J20" s="5" t="s">
        <v>43</v>
      </c>
      <c r="K20" s="5" t="s">
        <v>38</v>
      </c>
      <c r="L20" s="5" t="s">
        <v>23</v>
      </c>
      <c r="M20" s="5" t="s">
        <v>28</v>
      </c>
      <c r="N20" s="12" t="s">
        <v>29</v>
      </c>
      <c r="O20" s="12" t="s">
        <v>39</v>
      </c>
      <c r="P20" s="5" t="str">
        <f t="shared" si="0"/>
        <v>101.44878183829535</v>
      </c>
      <c r="Q20" s="5" t="str">
        <f t="shared" si="1"/>
        <v>13.002018586393161</v>
      </c>
      <c r="R20" s="21">
        <v>45870</v>
      </c>
      <c r="S20" t="s">
        <v>49</v>
      </c>
    </row>
    <row r="21" spans="1:19">
      <c r="H21" s="20" t="s">
        <v>83</v>
      </c>
    </row>
    <row r="22" spans="1:19">
      <c r="A22" s="16" t="s">
        <v>84</v>
      </c>
      <c r="J22" s="16"/>
    </row>
    <row r="23" spans="1:19">
      <c r="A23" s="18">
        <v>1</v>
      </c>
      <c r="B23" s="17" t="s">
        <v>85</v>
      </c>
      <c r="J23" s="16"/>
    </row>
    <row r="24" spans="1:19">
      <c r="A24" s="18">
        <v>2</v>
      </c>
      <c r="B24" s="17" t="s">
        <v>86</v>
      </c>
    </row>
    <row r="25" spans="1:19">
      <c r="A25" s="19">
        <v>3</v>
      </c>
      <c r="B25" s="17" t="s">
        <v>87</v>
      </c>
    </row>
    <row r="26" spans="1:19">
      <c r="A26" s="19">
        <v>4</v>
      </c>
      <c r="B26" s="17" t="s">
        <v>88</v>
      </c>
    </row>
  </sheetData>
  <phoneticPr fontId="16" type="noConversion"/>
  <pageMargins left="0.7" right="0.7" top="0.75" bottom="0.75" header="0.3" footer="0.3"/>
  <pageSetup paperSize="9" orientation="portrait" r:id="rId1"/>
  <headerFooter>
    <oddFooter>&amp;C_x000D_&amp;1#&amp;"Calibri"&amp;10&amp;KFFC000 TLP:AMBER - Limited disclosure, restricted to participants’ organizations.</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694DB12B679C47899B1AF71590BF0F" ma:contentTypeVersion="23" ma:contentTypeDescription="Create a new document." ma:contentTypeScope="" ma:versionID="6de79966d738c3f494421b16bd437961">
  <xsd:schema xmlns:xsd="http://www.w3.org/2001/XMLSchema" xmlns:xs="http://www.w3.org/2001/XMLSchema" xmlns:p="http://schemas.microsoft.com/office/2006/metadata/properties" xmlns:ns2="f8bb68c2-5df5-460a-9ba3-e32da309e978" xmlns:ns3="ddb7523b-6e2b-47b1-883d-2f6231086fe8" targetNamespace="http://schemas.microsoft.com/office/2006/metadata/properties" ma:root="true" ma:fieldsID="547e205216897152c8fd113dbfab54c9" ns2:_="" ns3:_="">
    <xsd:import namespace="f8bb68c2-5df5-460a-9ba3-e32da309e978"/>
    <xsd:import namespace="ddb7523b-6e2b-47b1-883d-2f6231086fe8"/>
    <xsd:element name="properties">
      <xsd:complexType>
        <xsd:sequence>
          <xsd:element name="documentManagement">
            <xsd:complexType>
              <xsd:all>
                <xsd:element ref="ns2:Note" minOccurs="0"/>
                <xsd:element ref="ns2:Notes0" minOccurs="0"/>
                <xsd:element ref="ns3:SharedWithUsers" minOccurs="0"/>
                <xsd:element ref="ns3:SharedWithDetails"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ServiceLocation"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bb68c2-5df5-460a-9ba3-e32da309e978" elementFormDefault="qualified">
    <xsd:import namespace="http://schemas.microsoft.com/office/2006/documentManagement/types"/>
    <xsd:import namespace="http://schemas.microsoft.com/office/infopath/2007/PartnerControls"/>
    <xsd:element name="Note" ma:index="2" nillable="true" ma:displayName="Note" ma:format="Dropdown" ma:internalName="Note">
      <xsd:simpleType>
        <xsd:restriction base="dms:Text">
          <xsd:maxLength value="255"/>
        </xsd:restriction>
      </xsd:simpleType>
    </xsd:element>
    <xsd:element name="Notes0" ma:index="3" nillable="true" ma:displayName="Notes" ma:format="Dropdown" ma:internalName="Notes0">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hidden="true"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hidden="true" ma:internalName="MediaServiceOCR"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hidden="true"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_Flow_SignoffStatus" ma:index="23" nillable="true" ma:displayName="Sign-off status" ma:internalName="Sign_x002d_off_x0020_status">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d65078bb-a19f-4306-9eff-ba6abdb800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b7523b-6e2b-47b1-883d-2f6231086fe8" elementFormDefault="qualified">
    <xsd:import namespace="http://schemas.microsoft.com/office/2006/documentManagement/types"/>
    <xsd:import namespace="http://schemas.microsoft.com/office/infopath/2007/PartnerControls"/>
    <xsd:element name="SharedWithUsers" ma:index="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hidden="true" ma:internalName="SharedWithDetails" ma:readOnly="true">
      <xsd:simpleType>
        <xsd:restriction base="dms:Note"/>
      </xsd:simpleType>
    </xsd:element>
    <xsd:element name="TaxCatchAll" ma:index="26" nillable="true" ma:displayName="Taxonomy Catch All Column" ma:hidden="true" ma:list="{7a685bbb-6dc0-4cc5-9cec-1008d1305168}" ma:internalName="TaxCatchAll" ma:showField="CatchAllData" ma:web="ddb7523b-6e2b-47b1-883d-2f6231086f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s0 xmlns="f8bb68c2-5df5-460a-9ba3-e32da309e978" xsi:nil="true"/>
    <Note xmlns="f8bb68c2-5df5-460a-9ba3-e32da309e978" xsi:nil="true"/>
    <_Flow_SignoffStatus xmlns="f8bb68c2-5df5-460a-9ba3-e32da309e978" xsi:nil="true"/>
    <TaxCatchAll xmlns="ddb7523b-6e2b-47b1-883d-2f6231086fe8" xsi:nil="true"/>
    <lcf76f155ced4ddcb4097134ff3c332f xmlns="f8bb68c2-5df5-460a-9ba3-e32da309e97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F25DC87-42F4-4D44-A501-D1AB41CEB646}"/>
</file>

<file path=customXml/itemProps2.xml><?xml version="1.0" encoding="utf-8"?>
<ds:datastoreItem xmlns:ds="http://schemas.openxmlformats.org/officeDocument/2006/customXml" ds:itemID="{4E53D1BE-02BB-46A7-911A-551E6D335897}"/>
</file>

<file path=customXml/itemProps3.xml><?xml version="1.0" encoding="utf-8"?>
<ds:datastoreItem xmlns:ds="http://schemas.openxmlformats.org/officeDocument/2006/customXml" ds:itemID="{7D126FF1-4E58-4998-906D-72B85AF307F2}"/>
</file>

<file path=docMetadata/LabelInfo.xml><?xml version="1.0" encoding="utf-8"?>
<clbl:labelList xmlns:clbl="http://schemas.microsoft.com/office/2020/mipLabelMetadata">
  <clbl:label id="{5db29ff9-328f-40bc-bdc5-3c7b0421d507}" enabled="1" method="Standard" siteId="{0da2a83b-13d9-4a35-965f-ec53a220ed9d}" removed="0"/>
  <clbl:label id="{98208406-c20e-48d7-a517-8606fa32557a}" enabled="1" method="Standard" siteId="{c6445630-e602-4993-a605-7e41f70338e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Enel spa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a251941</dc:creator>
  <cp:keywords/>
  <dc:description/>
  <cp:lastModifiedBy/>
  <cp:revision/>
  <dcterms:created xsi:type="dcterms:W3CDTF">2010-03-31T07:00:51Z</dcterms:created>
  <dcterms:modified xsi:type="dcterms:W3CDTF">2026-06-18T08:24:15Z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0x010100F5694DB12B679C47899B1AF71590BF0F</vt:lpwstr>
  </property>
  <property fmtid="{D5CDD505-2E9C-101B-9397-08002B2CF9AE}" pid="3" name="MediaServiceImageTags">
    <vt:lpwstr/>
  </property>
  <property fmtid="{D5CDD505-2E9C-101B-9397-08002B2CF9AE}" pid="4" name="MSIP_Label_d21e637e-f561-42f9-b1a6-4852fea27827_Enabled">
    <vt:lpwstr>true</vt:lpwstr>
  </property>
  <property fmtid="{D5CDD505-2E9C-101B-9397-08002B2CF9AE}" pid="5" name="MSIP_Label_d21e637e-f561-42f9-b1a6-4852fea27827_SetDate">
    <vt:lpwstr>2023-03-10T12:12:59Z</vt:lpwstr>
  </property>
  <property fmtid="{D5CDD505-2E9C-101B-9397-08002B2CF9AE}" pid="6" name="MSIP_Label_d21e637e-f561-42f9-b1a6-4852fea27827_Method">
    <vt:lpwstr>Standard</vt:lpwstr>
  </property>
  <property fmtid="{D5CDD505-2E9C-101B-9397-08002B2CF9AE}" pid="7" name="MSIP_Label_d21e637e-f561-42f9-b1a6-4852fea27827_Name">
    <vt:lpwstr>BAX_TLP_AMBER</vt:lpwstr>
  </property>
  <property fmtid="{D5CDD505-2E9C-101B-9397-08002B2CF9AE}" pid="8" name="MSIP_Label_d21e637e-f561-42f9-b1a6-4852fea27827_SiteId">
    <vt:lpwstr>043ee8b4-3909-4af9-a686-5726ee6a4613</vt:lpwstr>
  </property>
  <property fmtid="{D5CDD505-2E9C-101B-9397-08002B2CF9AE}" pid="9" name="MSIP_Label_d21e637e-f561-42f9-b1a6-4852fea27827_ActionId">
    <vt:lpwstr>87342580-071c-46e6-b932-c04dfd0fa819</vt:lpwstr>
  </property>
  <property fmtid="{D5CDD505-2E9C-101B-9397-08002B2CF9AE}" pid="10" name="MSIP_Label_d21e637e-f561-42f9-b1a6-4852fea27827_ContentBits">
    <vt:lpwstr>2</vt:lpwstr>
  </property>
</Properties>
</file>
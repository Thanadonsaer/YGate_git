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2026\YGate_git\docs\plant_list\"/>
    </mc:Choice>
  </mc:AlternateContent>
  <xr:revisionPtr revIDLastSave="0" documentId="13_ncr:1_{4E9953B1-08B3-49E8-B493-E2FC48FB8C85}" xr6:coauthVersionLast="47" xr6:coauthVersionMax="47" xr10:uidLastSave="{00000000-0000-0000-0000-000000000000}"/>
  <bookViews>
    <workbookView xWindow="28680" yWindow="7785" windowWidth="29040" windowHeight="15720" activeTab="1" xr2:uid="{5D54355F-3E01-4DB2-BB37-C1457DB548AB}"/>
  </bookViews>
  <sheets>
    <sheet name="Device list" sheetId="1" r:id="rId1"/>
    <sheet name="IP List" sheetId="2" r:id="rId2"/>
    <sheet name="PVS100" sheetId="6" r:id="rId3"/>
    <sheet name="PVS50" sheetId="7" r:id="rId4"/>
    <sheet name="SUN2000" sheetId="10" r:id="rId5"/>
    <sheet name="Weather Sensor" sheetId="13" r:id="rId6"/>
    <sheet name="From LCD" sheetId="17" r:id="rId7"/>
    <sheet name="Bill Point" sheetId="20" r:id="rId8"/>
    <sheet name="VISTEC12 (2)" sheetId="22" r:id="rId9"/>
    <sheet name="VISTEC12" sheetId="21" r:id="rId10"/>
    <sheet name="TOP1" sheetId="23" r:id="rId11"/>
    <sheet name="TOP2" sheetId="15" r:id="rId12"/>
    <sheet name="PTTMRB" sheetId="26" r:id="rId13"/>
    <sheet name="AICA" sheetId="27" r:id="rId14"/>
    <sheet name="SUT" sheetId="29" r:id="rId15"/>
    <sheet name="Suretex" sheetId="28" r:id="rId16"/>
    <sheet name="PTIC" sheetId="31" r:id="rId17"/>
    <sheet name="RASC" sheetId="35" r:id="rId18"/>
    <sheet name="ENTER" sheetId="36" r:id="rId19"/>
    <sheet name="INI" sheetId="33" r:id="rId20"/>
    <sheet name="Check" sheetId="3" r:id="rId21"/>
    <sheet name="Compare Meter" sheetId="32" r:id="rId22"/>
    <sheet name="Sheet1" sheetId="39" r:id="rId23"/>
    <sheet name="FutureFlex" sheetId="38" r:id="rId24"/>
    <sheet name="Sheet10" sheetId="24" r:id="rId25"/>
  </sheets>
  <definedNames>
    <definedName name="_xlnm._FilterDatabase" localSheetId="21" hidden="1">'Compare Meter'!$A$2:$BG$104</definedName>
    <definedName name="_xlnm._FilterDatabase" localSheetId="6" hidden="1">'From LCD'!$A$1:$E$59</definedName>
    <definedName name="_xlnm._FilterDatabase" localSheetId="1" hidden="1">'IP List'!$A$2:$O$217</definedName>
    <definedName name="_xlnm._FilterDatabase" localSheetId="2" hidden="1">'PVS100'!$A$2:$F$82</definedName>
    <definedName name="_xlnm._FilterDatabase" localSheetId="3" hidden="1">'PVS50'!$A$2:$F$49</definedName>
    <definedName name="_xlnm._FilterDatabase" localSheetId="4" hidden="1">'SUN2000'!$A$2:$F$72</definedName>
    <definedName name="_xlnm._FilterDatabase" localSheetId="9" hidden="1">VISTEC12!$A$1:$K$1</definedName>
    <definedName name="_xlnm._FilterDatabase" localSheetId="8" hidden="1">'VISTEC12 (2)'!$A$1:$J$97</definedName>
    <definedName name="_xlnm._FilterDatabase" localSheetId="5" hidden="1">'Weather Sensor'!$A$2:$F$72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2" l="1"/>
  <c r="F4" i="2"/>
  <c r="F20" i="2"/>
  <c r="E4" i="1"/>
  <c r="E5" i="1"/>
  <c r="E2" i="39"/>
  <c r="E3" i="39"/>
  <c r="E4" i="39"/>
  <c r="E5" i="39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2" i="39"/>
  <c r="E63" i="39"/>
  <c r="E64" i="39"/>
  <c r="E65" i="39"/>
  <c r="E66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3" i="39"/>
  <c r="E94" i="39"/>
  <c r="E1" i="39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2" i="38"/>
  <c r="A2" i="38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48" i="33"/>
  <c r="B49" i="33"/>
  <c r="B50" i="33"/>
  <c r="B51" i="33"/>
  <c r="B52" i="33"/>
  <c r="B53" i="33"/>
  <c r="B54" i="33"/>
  <c r="B55" i="33"/>
  <c r="B56" i="33"/>
  <c r="B57" i="33"/>
  <c r="B58" i="33"/>
  <c r="B59" i="33"/>
  <c r="B60" i="33"/>
  <c r="B61" i="33"/>
  <c r="B62" i="33"/>
  <c r="B63" i="33"/>
  <c r="B64" i="33"/>
  <c r="B65" i="33"/>
  <c r="B66" i="33"/>
  <c r="B67" i="33"/>
  <c r="B68" i="33"/>
  <c r="B69" i="33"/>
  <c r="B70" i="33"/>
  <c r="B71" i="33"/>
  <c r="B72" i="33"/>
  <c r="B73" i="33"/>
  <c r="B74" i="33"/>
  <c r="B75" i="33"/>
  <c r="B76" i="33"/>
  <c r="B77" i="33"/>
  <c r="B78" i="33"/>
  <c r="B79" i="33"/>
  <c r="B80" i="33"/>
  <c r="B81" i="33"/>
  <c r="B82" i="33"/>
  <c r="B83" i="33"/>
  <c r="B84" i="33"/>
  <c r="B85" i="33"/>
  <c r="B86" i="33"/>
  <c r="B87" i="33"/>
  <c r="B88" i="33"/>
  <c r="B89" i="33"/>
  <c r="B90" i="33"/>
  <c r="B91" i="33"/>
  <c r="B92" i="33"/>
  <c r="B93" i="33"/>
  <c r="B94" i="33"/>
  <c r="B95" i="33"/>
  <c r="B96" i="33"/>
  <c r="B97" i="33"/>
  <c r="B98" i="33"/>
  <c r="B99" i="33"/>
  <c r="B100" i="33"/>
  <c r="B101" i="33"/>
  <c r="B102" i="33"/>
  <c r="B103" i="33"/>
  <c r="B2" i="33"/>
  <c r="A2" i="33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2" i="36"/>
  <c r="A2" i="36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2" i="35"/>
  <c r="A2" i="35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2" i="31"/>
  <c r="A2" i="31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2" i="28"/>
  <c r="A2" i="28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2" i="29"/>
  <c r="A2" i="29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2" i="27"/>
  <c r="A10" i="26"/>
  <c r="B46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2" i="26"/>
  <c r="A2" i="26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2" i="15"/>
  <c r="A2" i="15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2" i="23"/>
  <c r="A2" i="23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2" i="21"/>
  <c r="C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B2" i="21"/>
  <c r="AQ100" i="32"/>
  <c r="AQ101" i="32"/>
  <c r="AQ102" i="32"/>
  <c r="AQ103" i="32"/>
  <c r="AQ104" i="32"/>
  <c r="M86" i="32"/>
  <c r="H3" i="32"/>
  <c r="R4" i="32"/>
  <c r="W4" i="32"/>
  <c r="AB4" i="32"/>
  <c r="AG4" i="32"/>
  <c r="AL4" i="32"/>
  <c r="AQ4" i="32"/>
  <c r="AV4" i="32"/>
  <c r="BA4" i="32"/>
  <c r="BF4" i="32"/>
  <c r="R5" i="32"/>
  <c r="W5" i="32"/>
  <c r="AB5" i="32"/>
  <c r="AG5" i="32"/>
  <c r="AL5" i="32"/>
  <c r="AQ5" i="32"/>
  <c r="AV5" i="32"/>
  <c r="BA5" i="32"/>
  <c r="BF5" i="32"/>
  <c r="R6" i="32"/>
  <c r="W6" i="32"/>
  <c r="AB6" i="32"/>
  <c r="AG6" i="32"/>
  <c r="AL6" i="32"/>
  <c r="AQ6" i="32"/>
  <c r="AV6" i="32"/>
  <c r="BA6" i="32"/>
  <c r="BF6" i="32"/>
  <c r="R7" i="32"/>
  <c r="W7" i="32"/>
  <c r="AB7" i="32"/>
  <c r="AG7" i="32"/>
  <c r="AL7" i="32"/>
  <c r="AQ7" i="32"/>
  <c r="AV7" i="32"/>
  <c r="BA7" i="32"/>
  <c r="BF7" i="32"/>
  <c r="R8" i="32"/>
  <c r="W8" i="32"/>
  <c r="AB8" i="32"/>
  <c r="AG8" i="32"/>
  <c r="AL8" i="32"/>
  <c r="AQ8" i="32"/>
  <c r="AV8" i="32"/>
  <c r="BA8" i="32"/>
  <c r="BF8" i="32"/>
  <c r="R9" i="32"/>
  <c r="W9" i="32"/>
  <c r="AB9" i="32"/>
  <c r="AG9" i="32"/>
  <c r="AL9" i="32"/>
  <c r="AQ9" i="32"/>
  <c r="AV9" i="32"/>
  <c r="BA9" i="32"/>
  <c r="BF9" i="32"/>
  <c r="R10" i="32"/>
  <c r="W10" i="32"/>
  <c r="AB10" i="32"/>
  <c r="AG10" i="32"/>
  <c r="AL10" i="32"/>
  <c r="AQ10" i="32"/>
  <c r="AV10" i="32"/>
  <c r="BA10" i="32"/>
  <c r="BF10" i="32"/>
  <c r="R11" i="32"/>
  <c r="W11" i="32"/>
  <c r="AB11" i="32"/>
  <c r="AG11" i="32"/>
  <c r="AL11" i="32"/>
  <c r="AQ11" i="32"/>
  <c r="AV11" i="32"/>
  <c r="BA11" i="32"/>
  <c r="BF11" i="32"/>
  <c r="R12" i="32"/>
  <c r="W12" i="32"/>
  <c r="AB12" i="32"/>
  <c r="AG12" i="32"/>
  <c r="AL12" i="32"/>
  <c r="AQ12" i="32"/>
  <c r="AV12" i="32"/>
  <c r="BA12" i="32"/>
  <c r="BF12" i="32"/>
  <c r="R13" i="32"/>
  <c r="W13" i="32"/>
  <c r="AB13" i="32"/>
  <c r="AG13" i="32"/>
  <c r="AL13" i="32"/>
  <c r="AQ13" i="32"/>
  <c r="AV13" i="32"/>
  <c r="BA13" i="32"/>
  <c r="BF13" i="32"/>
  <c r="R14" i="32"/>
  <c r="W14" i="32"/>
  <c r="AB14" i="32"/>
  <c r="AG14" i="32"/>
  <c r="AL14" i="32"/>
  <c r="AQ14" i="32"/>
  <c r="AV14" i="32"/>
  <c r="BA14" i="32"/>
  <c r="BF14" i="32"/>
  <c r="R15" i="32"/>
  <c r="W15" i="32"/>
  <c r="AB15" i="32"/>
  <c r="AG15" i="32"/>
  <c r="AL15" i="32"/>
  <c r="AQ15" i="32"/>
  <c r="AV15" i="32"/>
  <c r="BA15" i="32"/>
  <c r="BF15" i="32"/>
  <c r="R16" i="32"/>
  <c r="W16" i="32"/>
  <c r="AB16" i="32"/>
  <c r="AG16" i="32"/>
  <c r="AL16" i="32"/>
  <c r="AQ16" i="32"/>
  <c r="AV16" i="32"/>
  <c r="BA16" i="32"/>
  <c r="BF16" i="32"/>
  <c r="R17" i="32"/>
  <c r="W17" i="32"/>
  <c r="AB17" i="32"/>
  <c r="AG17" i="32"/>
  <c r="AL17" i="32"/>
  <c r="AQ17" i="32"/>
  <c r="AV17" i="32"/>
  <c r="BA17" i="32"/>
  <c r="BF17" i="32"/>
  <c r="R18" i="32"/>
  <c r="W18" i="32"/>
  <c r="AB18" i="32"/>
  <c r="AG18" i="32"/>
  <c r="AL18" i="32"/>
  <c r="AQ18" i="32"/>
  <c r="AV18" i="32"/>
  <c r="BA18" i="32"/>
  <c r="BF18" i="32"/>
  <c r="R19" i="32"/>
  <c r="W19" i="32"/>
  <c r="AB19" i="32"/>
  <c r="AG19" i="32"/>
  <c r="AL19" i="32"/>
  <c r="AQ19" i="32"/>
  <c r="AV19" i="32"/>
  <c r="BA19" i="32"/>
  <c r="BF19" i="32"/>
  <c r="R20" i="32"/>
  <c r="W20" i="32"/>
  <c r="AB20" i="32"/>
  <c r="AG20" i="32"/>
  <c r="AL20" i="32"/>
  <c r="AQ20" i="32"/>
  <c r="AV20" i="32"/>
  <c r="BA20" i="32"/>
  <c r="BF20" i="32"/>
  <c r="R21" i="32"/>
  <c r="W21" i="32"/>
  <c r="AB21" i="32"/>
  <c r="AG21" i="32"/>
  <c r="AL21" i="32"/>
  <c r="AQ21" i="32"/>
  <c r="AV21" i="32"/>
  <c r="BA21" i="32"/>
  <c r="BF21" i="32"/>
  <c r="R22" i="32"/>
  <c r="W22" i="32"/>
  <c r="AB22" i="32"/>
  <c r="AG22" i="32"/>
  <c r="AL22" i="32"/>
  <c r="AQ22" i="32"/>
  <c r="AV22" i="32"/>
  <c r="BA22" i="32"/>
  <c r="BF22" i="32"/>
  <c r="R23" i="32"/>
  <c r="W23" i="32"/>
  <c r="AB23" i="32"/>
  <c r="AG23" i="32"/>
  <c r="AL23" i="32"/>
  <c r="AQ23" i="32"/>
  <c r="AV23" i="32"/>
  <c r="BA23" i="32"/>
  <c r="BF23" i="32"/>
  <c r="R24" i="32"/>
  <c r="W24" i="32"/>
  <c r="AB24" i="32"/>
  <c r="AG24" i="32"/>
  <c r="AL24" i="32"/>
  <c r="AQ24" i="32"/>
  <c r="AV24" i="32"/>
  <c r="BA24" i="32"/>
  <c r="BF24" i="32"/>
  <c r="R25" i="32"/>
  <c r="W25" i="32"/>
  <c r="AB25" i="32"/>
  <c r="AG25" i="32"/>
  <c r="AL25" i="32"/>
  <c r="AQ25" i="32"/>
  <c r="AV25" i="32"/>
  <c r="BA25" i="32"/>
  <c r="BF25" i="32"/>
  <c r="R26" i="32"/>
  <c r="W26" i="32"/>
  <c r="AB26" i="32"/>
  <c r="AG26" i="32"/>
  <c r="AL26" i="32"/>
  <c r="AQ26" i="32"/>
  <c r="AV26" i="32"/>
  <c r="BA26" i="32"/>
  <c r="BF26" i="32"/>
  <c r="R27" i="32"/>
  <c r="W27" i="32"/>
  <c r="AB27" i="32"/>
  <c r="AG27" i="32"/>
  <c r="AL27" i="32"/>
  <c r="AQ27" i="32"/>
  <c r="AV27" i="32"/>
  <c r="BA27" i="32"/>
  <c r="BF27" i="32"/>
  <c r="R28" i="32"/>
  <c r="W28" i="32"/>
  <c r="AB28" i="32"/>
  <c r="AG28" i="32"/>
  <c r="AL28" i="32"/>
  <c r="AQ28" i="32"/>
  <c r="AV28" i="32"/>
  <c r="BA28" i="32"/>
  <c r="BF28" i="32"/>
  <c r="R29" i="32"/>
  <c r="W29" i="32"/>
  <c r="AB29" i="32"/>
  <c r="AG29" i="32"/>
  <c r="AL29" i="32"/>
  <c r="AQ29" i="32"/>
  <c r="AV29" i="32"/>
  <c r="BA29" i="32"/>
  <c r="BF29" i="32"/>
  <c r="R30" i="32"/>
  <c r="W30" i="32"/>
  <c r="AB30" i="32"/>
  <c r="AG30" i="32"/>
  <c r="AL30" i="32"/>
  <c r="AQ30" i="32"/>
  <c r="AV30" i="32"/>
  <c r="BA30" i="32"/>
  <c r="BF30" i="32"/>
  <c r="R31" i="32"/>
  <c r="W31" i="32"/>
  <c r="AB31" i="32"/>
  <c r="AG31" i="32"/>
  <c r="AL31" i="32"/>
  <c r="AQ31" i="32"/>
  <c r="AV31" i="32"/>
  <c r="BA31" i="32"/>
  <c r="BF31" i="32"/>
  <c r="R32" i="32"/>
  <c r="W32" i="32"/>
  <c r="AB32" i="32"/>
  <c r="AG32" i="32"/>
  <c r="AL32" i="32"/>
  <c r="AQ32" i="32"/>
  <c r="AV32" i="32"/>
  <c r="BA32" i="32"/>
  <c r="BF32" i="32"/>
  <c r="R33" i="32"/>
  <c r="W33" i="32"/>
  <c r="AB33" i="32"/>
  <c r="AG33" i="32"/>
  <c r="AL33" i="32"/>
  <c r="AQ33" i="32"/>
  <c r="AV33" i="32"/>
  <c r="BA33" i="32"/>
  <c r="BF33" i="32"/>
  <c r="R34" i="32"/>
  <c r="W34" i="32"/>
  <c r="AB34" i="32"/>
  <c r="AG34" i="32"/>
  <c r="AL34" i="32"/>
  <c r="AQ34" i="32"/>
  <c r="AV34" i="32"/>
  <c r="BA34" i="32"/>
  <c r="BF34" i="32"/>
  <c r="R35" i="32"/>
  <c r="W35" i="32"/>
  <c r="AB35" i="32"/>
  <c r="AG35" i="32"/>
  <c r="AL35" i="32"/>
  <c r="AQ35" i="32"/>
  <c r="AV35" i="32"/>
  <c r="BA35" i="32"/>
  <c r="BF35" i="32"/>
  <c r="R36" i="32"/>
  <c r="W36" i="32"/>
  <c r="AB36" i="32"/>
  <c r="AG36" i="32"/>
  <c r="AL36" i="32"/>
  <c r="AQ36" i="32"/>
  <c r="AV36" i="32"/>
  <c r="BA36" i="32"/>
  <c r="BF36" i="32"/>
  <c r="R37" i="32"/>
  <c r="W37" i="32"/>
  <c r="AB37" i="32"/>
  <c r="AG37" i="32"/>
  <c r="AL37" i="32"/>
  <c r="AQ37" i="32"/>
  <c r="AV37" i="32"/>
  <c r="BA37" i="32"/>
  <c r="BF37" i="32"/>
  <c r="R38" i="32"/>
  <c r="W38" i="32"/>
  <c r="AB38" i="32"/>
  <c r="AG38" i="32"/>
  <c r="AL38" i="32"/>
  <c r="AQ38" i="32"/>
  <c r="AV38" i="32"/>
  <c r="BA38" i="32"/>
  <c r="BF38" i="32"/>
  <c r="R39" i="32"/>
  <c r="W39" i="32"/>
  <c r="AB39" i="32"/>
  <c r="AG39" i="32"/>
  <c r="AL39" i="32"/>
  <c r="AQ39" i="32"/>
  <c r="AV39" i="32"/>
  <c r="BA39" i="32"/>
  <c r="BF39" i="32"/>
  <c r="R40" i="32"/>
  <c r="W40" i="32"/>
  <c r="AB40" i="32"/>
  <c r="AG40" i="32"/>
  <c r="AL40" i="32"/>
  <c r="AQ40" i="32"/>
  <c r="AV40" i="32"/>
  <c r="BA40" i="32"/>
  <c r="BF40" i="32"/>
  <c r="R41" i="32"/>
  <c r="W41" i="32"/>
  <c r="AB41" i="32"/>
  <c r="AG41" i="32"/>
  <c r="AL41" i="32"/>
  <c r="AQ41" i="32"/>
  <c r="AV41" i="32"/>
  <c r="BA41" i="32"/>
  <c r="BF41" i="32"/>
  <c r="R42" i="32"/>
  <c r="W42" i="32"/>
  <c r="AB42" i="32"/>
  <c r="AG42" i="32"/>
  <c r="AL42" i="32"/>
  <c r="AQ42" i="32"/>
  <c r="AV42" i="32"/>
  <c r="BA42" i="32"/>
  <c r="BF42" i="32"/>
  <c r="R43" i="32"/>
  <c r="W43" i="32"/>
  <c r="AB43" i="32"/>
  <c r="AG43" i="32"/>
  <c r="AL43" i="32"/>
  <c r="AQ43" i="32"/>
  <c r="AV43" i="32"/>
  <c r="BA43" i="32"/>
  <c r="BF43" i="32"/>
  <c r="R44" i="32"/>
  <c r="W44" i="32"/>
  <c r="AB44" i="32"/>
  <c r="AG44" i="32"/>
  <c r="AL44" i="32"/>
  <c r="AQ44" i="32"/>
  <c r="AV44" i="32"/>
  <c r="BA44" i="32"/>
  <c r="BF44" i="32"/>
  <c r="R45" i="32"/>
  <c r="W45" i="32"/>
  <c r="AB45" i="32"/>
  <c r="AG45" i="32"/>
  <c r="AL45" i="32"/>
  <c r="AQ45" i="32"/>
  <c r="AV45" i="32"/>
  <c r="BA45" i="32"/>
  <c r="BF45" i="32"/>
  <c r="R46" i="32"/>
  <c r="W46" i="32"/>
  <c r="AB46" i="32"/>
  <c r="AG46" i="32"/>
  <c r="AL46" i="32"/>
  <c r="AQ46" i="32"/>
  <c r="AV46" i="32"/>
  <c r="BA46" i="32"/>
  <c r="BF46" i="32"/>
  <c r="R47" i="32"/>
  <c r="W47" i="32"/>
  <c r="AB47" i="32"/>
  <c r="AG47" i="32"/>
  <c r="AL47" i="32"/>
  <c r="AQ47" i="32"/>
  <c r="AV47" i="32"/>
  <c r="BA47" i="32"/>
  <c r="BF47" i="32"/>
  <c r="R48" i="32"/>
  <c r="W48" i="32"/>
  <c r="AB48" i="32"/>
  <c r="AG48" i="32"/>
  <c r="AL48" i="32"/>
  <c r="AQ48" i="32"/>
  <c r="AV48" i="32"/>
  <c r="BA48" i="32"/>
  <c r="BF48" i="32"/>
  <c r="R49" i="32"/>
  <c r="W49" i="32"/>
  <c r="AB49" i="32"/>
  <c r="AG49" i="32"/>
  <c r="AL49" i="32"/>
  <c r="AQ49" i="32"/>
  <c r="AV49" i="32"/>
  <c r="BA49" i="32"/>
  <c r="BF49" i="32"/>
  <c r="R50" i="32"/>
  <c r="W50" i="32"/>
  <c r="AB50" i="32"/>
  <c r="AG50" i="32"/>
  <c r="AL50" i="32"/>
  <c r="AQ50" i="32"/>
  <c r="AV50" i="32"/>
  <c r="BA50" i="32"/>
  <c r="BF50" i="32"/>
  <c r="R51" i="32"/>
  <c r="W51" i="32"/>
  <c r="AB51" i="32"/>
  <c r="AG51" i="32"/>
  <c r="AL51" i="32"/>
  <c r="AQ51" i="32"/>
  <c r="AV51" i="32"/>
  <c r="BA51" i="32"/>
  <c r="BF51" i="32"/>
  <c r="R52" i="32"/>
  <c r="W52" i="32"/>
  <c r="AB52" i="32"/>
  <c r="AG52" i="32"/>
  <c r="AL52" i="32"/>
  <c r="AQ52" i="32"/>
  <c r="AV52" i="32"/>
  <c r="BA52" i="32"/>
  <c r="BF52" i="32"/>
  <c r="R53" i="32"/>
  <c r="W53" i="32"/>
  <c r="AB53" i="32"/>
  <c r="AG53" i="32"/>
  <c r="AL53" i="32"/>
  <c r="AQ53" i="32"/>
  <c r="AV53" i="32"/>
  <c r="BA53" i="32"/>
  <c r="BF53" i="32"/>
  <c r="R54" i="32"/>
  <c r="W54" i="32"/>
  <c r="AB54" i="32"/>
  <c r="AG54" i="32"/>
  <c r="AL54" i="32"/>
  <c r="AQ54" i="32"/>
  <c r="AV54" i="32"/>
  <c r="BA54" i="32"/>
  <c r="BF54" i="32"/>
  <c r="R55" i="32"/>
  <c r="W55" i="32"/>
  <c r="AB55" i="32"/>
  <c r="AG55" i="32"/>
  <c r="AL55" i="32"/>
  <c r="AQ55" i="32"/>
  <c r="AV55" i="32"/>
  <c r="BA55" i="32"/>
  <c r="BF55" i="32"/>
  <c r="R56" i="32"/>
  <c r="W56" i="32"/>
  <c r="AB56" i="32"/>
  <c r="AG56" i="32"/>
  <c r="AL56" i="32"/>
  <c r="AQ56" i="32"/>
  <c r="AV56" i="32"/>
  <c r="BA56" i="32"/>
  <c r="BF56" i="32"/>
  <c r="R57" i="32"/>
  <c r="W57" i="32"/>
  <c r="AB57" i="32"/>
  <c r="AG57" i="32"/>
  <c r="AL57" i="32"/>
  <c r="AQ57" i="32"/>
  <c r="AV57" i="32"/>
  <c r="BA57" i="32"/>
  <c r="BF57" i="32"/>
  <c r="R58" i="32"/>
  <c r="W58" i="32"/>
  <c r="AB58" i="32"/>
  <c r="AG58" i="32"/>
  <c r="AL58" i="32"/>
  <c r="AQ58" i="32"/>
  <c r="AV58" i="32"/>
  <c r="BA58" i="32"/>
  <c r="BF58" i="32"/>
  <c r="R59" i="32"/>
  <c r="W59" i="32"/>
  <c r="AB59" i="32"/>
  <c r="AG59" i="32"/>
  <c r="AL59" i="32"/>
  <c r="AQ59" i="32"/>
  <c r="AV59" i="32"/>
  <c r="BA59" i="32"/>
  <c r="BF59" i="32"/>
  <c r="W60" i="32"/>
  <c r="AB60" i="32"/>
  <c r="AG60" i="32"/>
  <c r="AL60" i="32"/>
  <c r="AQ60" i="32"/>
  <c r="AV60" i="32"/>
  <c r="BA60" i="32"/>
  <c r="BF60" i="32"/>
  <c r="W61" i="32"/>
  <c r="AB61" i="32"/>
  <c r="AG61" i="32"/>
  <c r="AL61" i="32"/>
  <c r="AQ61" i="32"/>
  <c r="AV61" i="32"/>
  <c r="BA61" i="32"/>
  <c r="BF61" i="32"/>
  <c r="W62" i="32"/>
  <c r="AB62" i="32"/>
  <c r="AG62" i="32"/>
  <c r="AL62" i="32"/>
  <c r="AQ62" i="32"/>
  <c r="AV62" i="32"/>
  <c r="BA62" i="32"/>
  <c r="BF62" i="32"/>
  <c r="W63" i="32"/>
  <c r="AB63" i="32"/>
  <c r="AG63" i="32"/>
  <c r="AL63" i="32"/>
  <c r="AQ63" i="32"/>
  <c r="AV63" i="32"/>
  <c r="BA63" i="32"/>
  <c r="BF63" i="32"/>
  <c r="W64" i="32"/>
  <c r="AB64" i="32"/>
  <c r="AG64" i="32"/>
  <c r="AL64" i="32"/>
  <c r="AQ64" i="32"/>
  <c r="AV64" i="32"/>
  <c r="BA64" i="32"/>
  <c r="BF64" i="32"/>
  <c r="W65" i="32"/>
  <c r="AB65" i="32"/>
  <c r="AG65" i="32"/>
  <c r="AL65" i="32"/>
  <c r="AQ65" i="32"/>
  <c r="AV65" i="32"/>
  <c r="BA65" i="32"/>
  <c r="BF65" i="32"/>
  <c r="W66" i="32"/>
  <c r="AB66" i="32"/>
  <c r="AG66" i="32"/>
  <c r="AL66" i="32"/>
  <c r="AQ66" i="32"/>
  <c r="AV66" i="32"/>
  <c r="BA66" i="32"/>
  <c r="BF66" i="32"/>
  <c r="W67" i="32"/>
  <c r="AB67" i="32"/>
  <c r="AG67" i="32"/>
  <c r="AL67" i="32"/>
  <c r="AQ67" i="32"/>
  <c r="AV67" i="32"/>
  <c r="BA67" i="32"/>
  <c r="BF67" i="32"/>
  <c r="W68" i="32"/>
  <c r="AB68" i="32"/>
  <c r="AG68" i="32"/>
  <c r="AL68" i="32"/>
  <c r="AQ68" i="32"/>
  <c r="AV68" i="32"/>
  <c r="BA68" i="32"/>
  <c r="BF68" i="32"/>
  <c r="W69" i="32"/>
  <c r="AB69" i="32"/>
  <c r="AG69" i="32"/>
  <c r="AL69" i="32"/>
  <c r="AQ69" i="32"/>
  <c r="AV69" i="32"/>
  <c r="BA69" i="32"/>
  <c r="BF69" i="32"/>
  <c r="W70" i="32"/>
  <c r="AB70" i="32"/>
  <c r="AG70" i="32"/>
  <c r="AL70" i="32"/>
  <c r="AQ70" i="32"/>
  <c r="AV70" i="32"/>
  <c r="BA70" i="32"/>
  <c r="BF70" i="32"/>
  <c r="W71" i="32"/>
  <c r="AB71" i="32"/>
  <c r="AG71" i="32"/>
  <c r="AL71" i="32"/>
  <c r="AQ71" i="32"/>
  <c r="AV71" i="32"/>
  <c r="BA71" i="32"/>
  <c r="BF71" i="32"/>
  <c r="W72" i="32"/>
  <c r="AB72" i="32"/>
  <c r="AG72" i="32"/>
  <c r="AL72" i="32"/>
  <c r="AQ72" i="32"/>
  <c r="AV72" i="32"/>
  <c r="BA72" i="32"/>
  <c r="BF72" i="32"/>
  <c r="W73" i="32"/>
  <c r="AB73" i="32"/>
  <c r="AG73" i="32"/>
  <c r="AL73" i="32"/>
  <c r="AQ73" i="32"/>
  <c r="AV73" i="32"/>
  <c r="BA73" i="32"/>
  <c r="BF73" i="32"/>
  <c r="W74" i="32"/>
  <c r="AB74" i="32"/>
  <c r="AG74" i="32"/>
  <c r="AL74" i="32"/>
  <c r="AQ74" i="32"/>
  <c r="AV74" i="32"/>
  <c r="BA74" i="32"/>
  <c r="BF74" i="32"/>
  <c r="W75" i="32"/>
  <c r="AB75" i="32"/>
  <c r="AG75" i="32"/>
  <c r="AL75" i="32"/>
  <c r="AQ75" i="32"/>
  <c r="AV75" i="32"/>
  <c r="BA75" i="32"/>
  <c r="BF75" i="32"/>
  <c r="W76" i="32"/>
  <c r="AB76" i="32"/>
  <c r="AG76" i="32"/>
  <c r="AL76" i="32"/>
  <c r="AQ76" i="32"/>
  <c r="AV76" i="32"/>
  <c r="BA76" i="32"/>
  <c r="BF76" i="32"/>
  <c r="W77" i="32"/>
  <c r="AB77" i="32"/>
  <c r="AG77" i="32"/>
  <c r="AL77" i="32"/>
  <c r="AQ77" i="32"/>
  <c r="AV77" i="32"/>
  <c r="BA77" i="32"/>
  <c r="BF77" i="32"/>
  <c r="W78" i="32"/>
  <c r="AB78" i="32"/>
  <c r="AG78" i="32"/>
  <c r="AL78" i="32"/>
  <c r="AQ78" i="32"/>
  <c r="AV78" i="32"/>
  <c r="BA78" i="32"/>
  <c r="BF78" i="32"/>
  <c r="W79" i="32"/>
  <c r="AB79" i="32"/>
  <c r="AG79" i="32"/>
  <c r="AL79" i="32"/>
  <c r="AQ79" i="32"/>
  <c r="AV79" i="32"/>
  <c r="BA79" i="32"/>
  <c r="BF79" i="32"/>
  <c r="W80" i="32"/>
  <c r="AB80" i="32"/>
  <c r="AG80" i="32"/>
  <c r="AL80" i="32"/>
  <c r="AQ80" i="32"/>
  <c r="AV80" i="32"/>
  <c r="BA80" i="32"/>
  <c r="BF80" i="32"/>
  <c r="W81" i="32"/>
  <c r="AB81" i="32"/>
  <c r="AG81" i="32"/>
  <c r="AL81" i="32"/>
  <c r="AQ81" i="32"/>
  <c r="AV81" i="32"/>
  <c r="BA81" i="32"/>
  <c r="BF81" i="32"/>
  <c r="W82" i="32"/>
  <c r="AB82" i="32"/>
  <c r="AG82" i="32"/>
  <c r="AL82" i="32"/>
  <c r="AQ82" i="32"/>
  <c r="AV82" i="32"/>
  <c r="BA82" i="32"/>
  <c r="BF82" i="32"/>
  <c r="W83" i="32"/>
  <c r="AB83" i="32"/>
  <c r="AG83" i="32"/>
  <c r="AL83" i="32"/>
  <c r="AQ83" i="32"/>
  <c r="AV83" i="32"/>
  <c r="BA83" i="32"/>
  <c r="BF83" i="32"/>
  <c r="W84" i="32"/>
  <c r="AB84" i="32"/>
  <c r="AG84" i="32"/>
  <c r="AL84" i="32"/>
  <c r="AQ84" i="32"/>
  <c r="AV84" i="32"/>
  <c r="BA84" i="32"/>
  <c r="BF84" i="32"/>
  <c r="W85" i="32"/>
  <c r="AB85" i="32"/>
  <c r="AG85" i="32"/>
  <c r="AL85" i="32"/>
  <c r="AQ85" i="32"/>
  <c r="AV85" i="32"/>
  <c r="BA85" i="32"/>
  <c r="BF85" i="32"/>
  <c r="W86" i="32"/>
  <c r="AB86" i="32"/>
  <c r="AG86" i="32"/>
  <c r="AL86" i="32"/>
  <c r="AQ86" i="32"/>
  <c r="AV86" i="32"/>
  <c r="BA86" i="32"/>
  <c r="BF86" i="32"/>
  <c r="W87" i="32"/>
  <c r="AB87" i="32"/>
  <c r="AG87" i="32"/>
  <c r="AL87" i="32"/>
  <c r="AQ87" i="32"/>
  <c r="AV87" i="32"/>
  <c r="BA87" i="32"/>
  <c r="BF87" i="32"/>
  <c r="W88" i="32"/>
  <c r="AB88" i="32"/>
  <c r="AG88" i="32"/>
  <c r="AL88" i="32"/>
  <c r="AQ88" i="32"/>
  <c r="AV88" i="32"/>
  <c r="BA88" i="32"/>
  <c r="BF88" i="32"/>
  <c r="W89" i="32"/>
  <c r="AB89" i="32"/>
  <c r="AG89" i="32"/>
  <c r="AL89" i="32"/>
  <c r="AQ89" i="32"/>
  <c r="AV89" i="32"/>
  <c r="BA89" i="32"/>
  <c r="BF89" i="32"/>
  <c r="W90" i="32"/>
  <c r="AB90" i="32"/>
  <c r="AG90" i="32"/>
  <c r="AL90" i="32"/>
  <c r="AQ90" i="32"/>
  <c r="AV90" i="32"/>
  <c r="BA90" i="32"/>
  <c r="BF90" i="32"/>
  <c r="W91" i="32"/>
  <c r="AB91" i="32"/>
  <c r="AG91" i="32"/>
  <c r="AL91" i="32"/>
  <c r="AQ91" i="32"/>
  <c r="AV91" i="32"/>
  <c r="BA91" i="32"/>
  <c r="BF91" i="32"/>
  <c r="W92" i="32"/>
  <c r="AB92" i="32"/>
  <c r="AG92" i="32"/>
  <c r="AL92" i="32"/>
  <c r="AQ92" i="32"/>
  <c r="AV92" i="32"/>
  <c r="BA92" i="32"/>
  <c r="BF92" i="32"/>
  <c r="W93" i="32"/>
  <c r="AB93" i="32"/>
  <c r="AG93" i="32"/>
  <c r="AL93" i="32"/>
  <c r="AQ93" i="32"/>
  <c r="AV93" i="32"/>
  <c r="BA93" i="32"/>
  <c r="BF93" i="32"/>
  <c r="W94" i="32"/>
  <c r="AB94" i="32"/>
  <c r="AG94" i="32"/>
  <c r="AL94" i="32"/>
  <c r="AQ94" i="32"/>
  <c r="AV94" i="32"/>
  <c r="BA94" i="32"/>
  <c r="BF94" i="32"/>
  <c r="W95" i="32"/>
  <c r="AB95" i="32"/>
  <c r="AG95" i="32"/>
  <c r="AL95" i="32"/>
  <c r="AQ95" i="32"/>
  <c r="AV95" i="32"/>
  <c r="BA95" i="32"/>
  <c r="BF95" i="32"/>
  <c r="W96" i="32"/>
  <c r="AB96" i="32"/>
  <c r="AG96" i="32"/>
  <c r="AL96" i="32"/>
  <c r="AQ96" i="32"/>
  <c r="AV96" i="32"/>
  <c r="BA96" i="32"/>
  <c r="BF96" i="32"/>
  <c r="W97" i="32"/>
  <c r="AQ97" i="32"/>
  <c r="BF97" i="32"/>
  <c r="W98" i="32"/>
  <c r="AQ98" i="32"/>
  <c r="BF98" i="32"/>
  <c r="W99" i="32"/>
  <c r="AQ99" i="32"/>
  <c r="BF99" i="32"/>
  <c r="BF3" i="32"/>
  <c r="BA3" i="32"/>
  <c r="AV3" i="32"/>
  <c r="AQ3" i="32"/>
  <c r="AL3" i="32"/>
  <c r="AG3" i="32"/>
  <c r="AB3" i="32"/>
  <c r="W3" i="32"/>
  <c r="R3" i="32"/>
  <c r="M97" i="32"/>
  <c r="M98" i="32"/>
  <c r="M99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0" i="32"/>
  <c r="M51" i="32"/>
  <c r="M52" i="32"/>
  <c r="M53" i="32"/>
  <c r="M54" i="32"/>
  <c r="M55" i="32"/>
  <c r="M56" i="32"/>
  <c r="M57" i="32"/>
  <c r="M58" i="32"/>
  <c r="M59" i="32"/>
  <c r="M60" i="32"/>
  <c r="M61" i="32"/>
  <c r="M62" i="32"/>
  <c r="M63" i="32"/>
  <c r="M64" i="32"/>
  <c r="M65" i="32"/>
  <c r="M66" i="32"/>
  <c r="M67" i="32"/>
  <c r="M68" i="32"/>
  <c r="M69" i="32"/>
  <c r="M70" i="32"/>
  <c r="M71" i="32"/>
  <c r="M72" i="32"/>
  <c r="M73" i="32"/>
  <c r="M74" i="32"/>
  <c r="M75" i="32"/>
  <c r="M76" i="32"/>
  <c r="M77" i="32"/>
  <c r="M78" i="32"/>
  <c r="M79" i="32"/>
  <c r="M80" i="32"/>
  <c r="M81" i="32"/>
  <c r="M82" i="32"/>
  <c r="M83" i="32"/>
  <c r="M84" i="32"/>
  <c r="M85" i="32"/>
  <c r="M87" i="32"/>
  <c r="M88" i="32"/>
  <c r="M89" i="32"/>
  <c r="M90" i="32"/>
  <c r="M91" i="32"/>
  <c r="M92" i="32"/>
  <c r="M93" i="32"/>
  <c r="M94" i="32"/>
  <c r="M95" i="32"/>
  <c r="M96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H72" i="32"/>
  <c r="H73" i="32"/>
  <c r="H74" i="32"/>
  <c r="H75" i="32"/>
  <c r="H76" i="32"/>
  <c r="H77" i="32"/>
  <c r="H78" i="32"/>
  <c r="H79" i="32"/>
  <c r="H80" i="32"/>
  <c r="H81" i="32"/>
  <c r="H82" i="32"/>
  <c r="H83" i="32"/>
  <c r="H84" i="32"/>
  <c r="H85" i="32"/>
  <c r="H86" i="32"/>
  <c r="H87" i="32"/>
  <c r="H88" i="32"/>
  <c r="H89" i="32"/>
  <c r="H90" i="32"/>
  <c r="H91" i="32"/>
  <c r="H92" i="32"/>
  <c r="H93" i="32"/>
  <c r="H94" i="32"/>
  <c r="H95" i="32"/>
  <c r="H96" i="32"/>
  <c r="M3" i="32"/>
  <c r="F98" i="38"/>
  <c r="A98" i="38" s="1"/>
  <c r="F97" i="38"/>
  <c r="A97" i="38" s="1"/>
  <c r="F96" i="38"/>
  <c r="A96" i="38" s="1"/>
  <c r="F95" i="38"/>
  <c r="A95" i="38" s="1"/>
  <c r="F94" i="38"/>
  <c r="A94" i="38" s="1"/>
  <c r="F93" i="38"/>
  <c r="A93" i="38" s="1"/>
  <c r="F92" i="38"/>
  <c r="A92" i="38" s="1"/>
  <c r="F91" i="38"/>
  <c r="A91" i="38" s="1"/>
  <c r="F90" i="38"/>
  <c r="A90" i="38" s="1"/>
  <c r="F89" i="38"/>
  <c r="A89" i="38" s="1"/>
  <c r="F88" i="38"/>
  <c r="A88" i="38" s="1"/>
  <c r="F87" i="38"/>
  <c r="A87" i="38" s="1"/>
  <c r="F86" i="38"/>
  <c r="A86" i="38"/>
  <c r="F85" i="38"/>
  <c r="A85" i="38" s="1"/>
  <c r="F84" i="38"/>
  <c r="A84" i="38" s="1"/>
  <c r="F83" i="38"/>
  <c r="A83" i="38" s="1"/>
  <c r="F82" i="38"/>
  <c r="A82" i="38" s="1"/>
  <c r="F81" i="38"/>
  <c r="A81" i="38" s="1"/>
  <c r="F80" i="38"/>
  <c r="A80" i="38"/>
  <c r="F79" i="38"/>
  <c r="A79" i="38"/>
  <c r="F78" i="38"/>
  <c r="A78" i="38" s="1"/>
  <c r="F77" i="38"/>
  <c r="A77" i="38"/>
  <c r="F76" i="38"/>
  <c r="A76" i="38" s="1"/>
  <c r="F75" i="38"/>
  <c r="A75" i="38" s="1"/>
  <c r="F74" i="38"/>
  <c r="A74" i="38"/>
  <c r="F73" i="38"/>
  <c r="A73" i="38" s="1"/>
  <c r="F72" i="38"/>
  <c r="A72" i="38" s="1"/>
  <c r="F71" i="38"/>
  <c r="A71" i="38" s="1"/>
  <c r="F70" i="38"/>
  <c r="A70" i="38" s="1"/>
  <c r="F69" i="38"/>
  <c r="A69" i="38" s="1"/>
  <c r="F68" i="38"/>
  <c r="A68" i="38" s="1"/>
  <c r="F67" i="38"/>
  <c r="A67" i="38" s="1"/>
  <c r="F66" i="38"/>
  <c r="A66" i="38" s="1"/>
  <c r="F65" i="38"/>
  <c r="A65" i="38"/>
  <c r="F64" i="38"/>
  <c r="A64" i="38" s="1"/>
  <c r="F63" i="38"/>
  <c r="A63" i="38" s="1"/>
  <c r="F62" i="38"/>
  <c r="A62" i="38"/>
  <c r="F61" i="38"/>
  <c r="A61" i="38"/>
  <c r="F60" i="38"/>
  <c r="A60" i="38" s="1"/>
  <c r="F59" i="38"/>
  <c r="A59" i="38" s="1"/>
  <c r="F58" i="38"/>
  <c r="A58" i="38" s="1"/>
  <c r="F57" i="38"/>
  <c r="A57" i="38" s="1"/>
  <c r="F56" i="38"/>
  <c r="A56" i="38" s="1"/>
  <c r="F55" i="38"/>
  <c r="A55" i="38"/>
  <c r="F54" i="38"/>
  <c r="A54" i="38" s="1"/>
  <c r="F53" i="38"/>
  <c r="A53" i="38"/>
  <c r="F52" i="38"/>
  <c r="A52" i="38" s="1"/>
  <c r="F51" i="38"/>
  <c r="A51" i="38" s="1"/>
  <c r="F50" i="38"/>
  <c r="A50" i="38" s="1"/>
  <c r="F49" i="38"/>
  <c r="A49" i="38"/>
  <c r="F48" i="38"/>
  <c r="A48" i="38" s="1"/>
  <c r="F47" i="38"/>
  <c r="A47" i="38"/>
  <c r="F46" i="38"/>
  <c r="A46" i="38" s="1"/>
  <c r="F45" i="38"/>
  <c r="A45" i="38" s="1"/>
  <c r="F44" i="38"/>
  <c r="A44" i="38" s="1"/>
  <c r="F43" i="38"/>
  <c r="A43" i="38" s="1"/>
  <c r="F42" i="38"/>
  <c r="A42" i="38" s="1"/>
  <c r="F41" i="38"/>
  <c r="A41" i="38"/>
  <c r="F40" i="38"/>
  <c r="A40" i="38" s="1"/>
  <c r="F39" i="38"/>
  <c r="A39" i="38" s="1"/>
  <c r="F38" i="38"/>
  <c r="A38" i="38"/>
  <c r="F37" i="38"/>
  <c r="A37" i="38" s="1"/>
  <c r="F36" i="38"/>
  <c r="A36" i="38" s="1"/>
  <c r="F35" i="38"/>
  <c r="A35" i="38" s="1"/>
  <c r="F34" i="38"/>
  <c r="A34" i="38" s="1"/>
  <c r="F33" i="38"/>
  <c r="A33" i="38" s="1"/>
  <c r="F32" i="38"/>
  <c r="A32" i="38"/>
  <c r="F31" i="38"/>
  <c r="A31" i="38"/>
  <c r="F30" i="38"/>
  <c r="A30" i="38" s="1"/>
  <c r="F29" i="38"/>
  <c r="A29" i="38" s="1"/>
  <c r="F28" i="38"/>
  <c r="A28" i="38" s="1"/>
  <c r="F27" i="38"/>
  <c r="A27" i="38" s="1"/>
  <c r="F26" i="38"/>
  <c r="A26" i="38" s="1"/>
  <c r="F25" i="38"/>
  <c r="A25" i="38" s="1"/>
  <c r="F24" i="38"/>
  <c r="A24" i="38" s="1"/>
  <c r="F23" i="38"/>
  <c r="A23" i="38" s="1"/>
  <c r="F22" i="38"/>
  <c r="A22" i="38" s="1"/>
  <c r="F21" i="38"/>
  <c r="A21" i="38" s="1"/>
  <c r="F20" i="38"/>
  <c r="A20" i="38" s="1"/>
  <c r="F19" i="38"/>
  <c r="A19" i="38" s="1"/>
  <c r="F18" i="38"/>
  <c r="A18" i="38" s="1"/>
  <c r="F17" i="38"/>
  <c r="A17" i="38"/>
  <c r="F16" i="38"/>
  <c r="A16" i="38" s="1"/>
  <c r="F15" i="38"/>
  <c r="A15" i="38" s="1"/>
  <c r="F14" i="38"/>
  <c r="A14" i="38" s="1"/>
  <c r="F13" i="38"/>
  <c r="A13" i="38"/>
  <c r="F12" i="38"/>
  <c r="A12" i="38" s="1"/>
  <c r="F11" i="38"/>
  <c r="A11" i="38" s="1"/>
  <c r="F10" i="38"/>
  <c r="A10" i="38" s="1"/>
  <c r="F9" i="38"/>
  <c r="A9" i="38" s="1"/>
  <c r="F8" i="38"/>
  <c r="A8" i="38" s="1"/>
  <c r="F7" i="38"/>
  <c r="A7" i="38" s="1"/>
  <c r="F6" i="38"/>
  <c r="A6" i="38" s="1"/>
  <c r="F5" i="38"/>
  <c r="A5" i="38"/>
  <c r="F4" i="38"/>
  <c r="A4" i="38" s="1"/>
  <c r="F3" i="38"/>
  <c r="A3" i="38" s="1"/>
  <c r="F2" i="38"/>
  <c r="F95" i="36"/>
  <c r="A95" i="36" s="1"/>
  <c r="F94" i="36"/>
  <c r="A94" i="36" s="1"/>
  <c r="F93" i="36"/>
  <c r="A93" i="36" s="1"/>
  <c r="F92" i="36"/>
  <c r="A92" i="36" s="1"/>
  <c r="F91" i="36"/>
  <c r="A91" i="36" s="1"/>
  <c r="F90" i="36"/>
  <c r="A90" i="36"/>
  <c r="F89" i="36"/>
  <c r="A89" i="36"/>
  <c r="F88" i="36"/>
  <c r="A88" i="36" s="1"/>
  <c r="F87" i="36"/>
  <c r="A87" i="36" s="1"/>
  <c r="F86" i="36"/>
  <c r="A86" i="36" s="1"/>
  <c r="F85" i="36"/>
  <c r="A85" i="36" s="1"/>
  <c r="F84" i="36"/>
  <c r="A84" i="36"/>
  <c r="F83" i="36"/>
  <c r="A83" i="36"/>
  <c r="F82" i="36"/>
  <c r="A82" i="36" s="1"/>
  <c r="F81" i="36"/>
  <c r="A81" i="36" s="1"/>
  <c r="F80" i="36"/>
  <c r="A80" i="36"/>
  <c r="F79" i="36"/>
  <c r="A79" i="36" s="1"/>
  <c r="F78" i="36"/>
  <c r="A78" i="36" s="1"/>
  <c r="F77" i="36"/>
  <c r="A77" i="36"/>
  <c r="F76" i="36"/>
  <c r="A76" i="36" s="1"/>
  <c r="F75" i="36"/>
  <c r="A75" i="36" s="1"/>
  <c r="F74" i="36"/>
  <c r="A74" i="36"/>
  <c r="F73" i="36"/>
  <c r="A73" i="36"/>
  <c r="F72" i="36"/>
  <c r="A72" i="36" s="1"/>
  <c r="F71" i="36"/>
  <c r="A71" i="36" s="1"/>
  <c r="F70" i="36"/>
  <c r="A70" i="36" s="1"/>
  <c r="F69" i="36"/>
  <c r="A69" i="36" s="1"/>
  <c r="F68" i="36"/>
  <c r="A68" i="36"/>
  <c r="F67" i="36"/>
  <c r="A67" i="36"/>
  <c r="F66" i="36"/>
  <c r="A66" i="36"/>
  <c r="F65" i="36"/>
  <c r="A65" i="36" s="1"/>
  <c r="F64" i="36"/>
  <c r="A64" i="36" s="1"/>
  <c r="F63" i="36"/>
  <c r="A63" i="36" s="1"/>
  <c r="F62" i="36"/>
  <c r="A62" i="36"/>
  <c r="F61" i="36"/>
  <c r="A61" i="36"/>
  <c r="F60" i="36"/>
  <c r="A60" i="36"/>
  <c r="F59" i="36"/>
  <c r="A59" i="36"/>
  <c r="F58" i="36"/>
  <c r="A58" i="36" s="1"/>
  <c r="F57" i="36"/>
  <c r="A57" i="36" s="1"/>
  <c r="F56" i="36"/>
  <c r="A56" i="36" s="1"/>
  <c r="F55" i="36"/>
  <c r="A55" i="36"/>
  <c r="F54" i="36"/>
  <c r="A54" i="36"/>
  <c r="F53" i="36"/>
  <c r="A53" i="36"/>
  <c r="F52" i="36"/>
  <c r="A52" i="36" s="1"/>
  <c r="F51" i="36"/>
  <c r="A51" i="36" s="1"/>
  <c r="F50" i="36"/>
  <c r="A50" i="36" s="1"/>
  <c r="F49" i="36"/>
  <c r="A49" i="36"/>
  <c r="F48" i="36"/>
  <c r="A48" i="36"/>
  <c r="F47" i="36"/>
  <c r="A47" i="36"/>
  <c r="F46" i="36"/>
  <c r="A46" i="36" s="1"/>
  <c r="F45" i="36"/>
  <c r="A45" i="36" s="1"/>
  <c r="F44" i="36"/>
  <c r="A44" i="36"/>
  <c r="F43" i="36"/>
  <c r="A43" i="36" s="1"/>
  <c r="F42" i="36"/>
  <c r="A42" i="36"/>
  <c r="F41" i="36"/>
  <c r="A41" i="36"/>
  <c r="F40" i="36"/>
  <c r="A40" i="36" s="1"/>
  <c r="F39" i="36"/>
  <c r="A39" i="36" s="1"/>
  <c r="F38" i="36"/>
  <c r="A38" i="36"/>
  <c r="F37" i="36"/>
  <c r="A37" i="36"/>
  <c r="F36" i="36"/>
  <c r="A36" i="36" s="1"/>
  <c r="F35" i="36"/>
  <c r="A35" i="36"/>
  <c r="F34" i="36"/>
  <c r="A34" i="36" s="1"/>
  <c r="F33" i="36"/>
  <c r="A33" i="36" s="1"/>
  <c r="F32" i="36"/>
  <c r="A32" i="36"/>
  <c r="F31" i="36"/>
  <c r="A31" i="36"/>
  <c r="F30" i="36"/>
  <c r="A30" i="36"/>
  <c r="F29" i="36"/>
  <c r="A29" i="36" s="1"/>
  <c r="F28" i="36"/>
  <c r="A28" i="36" s="1"/>
  <c r="F27" i="36"/>
  <c r="A27" i="36" s="1"/>
  <c r="F26" i="36"/>
  <c r="A26" i="36"/>
  <c r="F25" i="36"/>
  <c r="A25" i="36"/>
  <c r="F24" i="36"/>
  <c r="A24" i="36"/>
  <c r="F23" i="36"/>
  <c r="A23" i="36"/>
  <c r="F22" i="36"/>
  <c r="A22" i="36" s="1"/>
  <c r="F21" i="36"/>
  <c r="A21" i="36" s="1"/>
  <c r="F20" i="36"/>
  <c r="A20" i="36"/>
  <c r="F19" i="36"/>
  <c r="A19" i="36"/>
  <c r="F18" i="36"/>
  <c r="A18" i="36"/>
  <c r="F17" i="36"/>
  <c r="A17" i="36"/>
  <c r="F16" i="36"/>
  <c r="A16" i="36" s="1"/>
  <c r="F15" i="36"/>
  <c r="A15" i="36" s="1"/>
  <c r="F14" i="36"/>
  <c r="A14" i="36" s="1"/>
  <c r="F13" i="36"/>
  <c r="A13" i="36"/>
  <c r="F12" i="36"/>
  <c r="A12" i="36"/>
  <c r="F11" i="36"/>
  <c r="A11" i="36"/>
  <c r="F10" i="36"/>
  <c r="A10" i="36" s="1"/>
  <c r="F9" i="36"/>
  <c r="A9" i="36" s="1"/>
  <c r="F8" i="36"/>
  <c r="A8" i="36"/>
  <c r="F7" i="36"/>
  <c r="A7" i="36" s="1"/>
  <c r="F6" i="36"/>
  <c r="A6" i="36"/>
  <c r="F5" i="36"/>
  <c r="A5" i="36"/>
  <c r="F4" i="36"/>
  <c r="A4" i="36" s="1"/>
  <c r="F3" i="36"/>
  <c r="A3" i="36" s="1"/>
  <c r="F2" i="36"/>
  <c r="F95" i="35"/>
  <c r="A95" i="35" s="1"/>
  <c r="F94" i="35"/>
  <c r="A94" i="35" s="1"/>
  <c r="F93" i="35"/>
  <c r="A93" i="35" s="1"/>
  <c r="F92" i="35"/>
  <c r="A92" i="35" s="1"/>
  <c r="F91" i="35"/>
  <c r="A91" i="35" s="1"/>
  <c r="F90" i="35"/>
  <c r="A90" i="35"/>
  <c r="F89" i="35"/>
  <c r="A89" i="35" s="1"/>
  <c r="F88" i="35"/>
  <c r="A88" i="35" s="1"/>
  <c r="F87" i="35"/>
  <c r="A87" i="35" s="1"/>
  <c r="F86" i="35"/>
  <c r="A86" i="35"/>
  <c r="F85" i="35"/>
  <c r="A85" i="35" s="1"/>
  <c r="F84" i="35"/>
  <c r="A84" i="35"/>
  <c r="F83" i="35"/>
  <c r="A83" i="35"/>
  <c r="F82" i="35"/>
  <c r="A82" i="35" s="1"/>
  <c r="F81" i="35"/>
  <c r="A81" i="35" s="1"/>
  <c r="F80" i="35"/>
  <c r="A80" i="35"/>
  <c r="F79" i="35"/>
  <c r="A79" i="35" s="1"/>
  <c r="F78" i="35"/>
  <c r="A78" i="35" s="1"/>
  <c r="F77" i="35"/>
  <c r="A77" i="35"/>
  <c r="F76" i="35"/>
  <c r="A76" i="35" s="1"/>
  <c r="F75" i="35"/>
  <c r="A75" i="35" s="1"/>
  <c r="F74" i="35"/>
  <c r="A74" i="35" s="1"/>
  <c r="F73" i="35"/>
  <c r="A73" i="35" s="1"/>
  <c r="F72" i="35"/>
  <c r="A72" i="35"/>
  <c r="F71" i="35"/>
  <c r="A71" i="35" s="1"/>
  <c r="F70" i="35"/>
  <c r="A70" i="35" s="1"/>
  <c r="F69" i="35"/>
  <c r="A69" i="35" s="1"/>
  <c r="F68" i="35"/>
  <c r="A68" i="35" s="1"/>
  <c r="F67" i="35"/>
  <c r="A67" i="35"/>
  <c r="F66" i="35"/>
  <c r="A66" i="35" s="1"/>
  <c r="F65" i="35"/>
  <c r="A65" i="35" s="1"/>
  <c r="F64" i="35"/>
  <c r="A64" i="35" s="1"/>
  <c r="F63" i="35"/>
  <c r="A63" i="35" s="1"/>
  <c r="F62" i="35"/>
  <c r="A62" i="35" s="1"/>
  <c r="F61" i="35"/>
  <c r="A61" i="35" s="1"/>
  <c r="F60" i="35"/>
  <c r="A60" i="35"/>
  <c r="F59" i="35"/>
  <c r="A59" i="35"/>
  <c r="F58" i="35"/>
  <c r="A58" i="35" s="1"/>
  <c r="F57" i="35"/>
  <c r="A57" i="35"/>
  <c r="F56" i="35"/>
  <c r="A56" i="35" s="1"/>
  <c r="F55" i="35"/>
  <c r="A55" i="35" s="1"/>
  <c r="F54" i="35"/>
  <c r="A54" i="35"/>
  <c r="F53" i="35"/>
  <c r="A53" i="35"/>
  <c r="F52" i="35"/>
  <c r="A52" i="35" s="1"/>
  <c r="F51" i="35"/>
  <c r="A51" i="35"/>
  <c r="F50" i="35"/>
  <c r="A50" i="35"/>
  <c r="F49" i="35"/>
  <c r="A49" i="35" s="1"/>
  <c r="F48" i="35"/>
  <c r="A48" i="35" s="1"/>
  <c r="F47" i="35"/>
  <c r="A47" i="35" s="1"/>
  <c r="F46" i="35"/>
  <c r="A46" i="35" s="1"/>
  <c r="F45" i="35"/>
  <c r="A45" i="35" s="1"/>
  <c r="F44" i="35"/>
  <c r="A44" i="35"/>
  <c r="F43" i="35"/>
  <c r="A43" i="35" s="1"/>
  <c r="F42" i="35"/>
  <c r="A42" i="35" s="1"/>
  <c r="F41" i="35"/>
  <c r="A41" i="35"/>
  <c r="F40" i="35"/>
  <c r="A40" i="35" s="1"/>
  <c r="F39" i="35"/>
  <c r="A39" i="35" s="1"/>
  <c r="F38" i="35"/>
  <c r="A38" i="35" s="1"/>
  <c r="F37" i="35"/>
  <c r="A37" i="35"/>
  <c r="F36" i="35"/>
  <c r="A36" i="35" s="1"/>
  <c r="F35" i="35"/>
  <c r="A35" i="35" s="1"/>
  <c r="F34" i="35"/>
  <c r="A34" i="35" s="1"/>
  <c r="F33" i="35"/>
  <c r="A33" i="35"/>
  <c r="F32" i="35"/>
  <c r="A32" i="35" s="1"/>
  <c r="F31" i="35"/>
  <c r="A31" i="35" s="1"/>
  <c r="F30" i="35"/>
  <c r="A30" i="35" s="1"/>
  <c r="F29" i="35"/>
  <c r="A29" i="35"/>
  <c r="F28" i="35"/>
  <c r="A28" i="35" s="1"/>
  <c r="F27" i="35"/>
  <c r="A27" i="35"/>
  <c r="F26" i="35"/>
  <c r="A26" i="35"/>
  <c r="F25" i="35"/>
  <c r="A25" i="35"/>
  <c r="F24" i="35"/>
  <c r="A24" i="35" s="1"/>
  <c r="F23" i="35"/>
  <c r="A23" i="35" s="1"/>
  <c r="F22" i="35"/>
  <c r="A22" i="35" s="1"/>
  <c r="F21" i="35"/>
  <c r="A21" i="35"/>
  <c r="F20" i="35"/>
  <c r="A20" i="35"/>
  <c r="F19" i="35"/>
  <c r="A19" i="35" s="1"/>
  <c r="F18" i="35"/>
  <c r="A18" i="35"/>
  <c r="F17" i="35"/>
  <c r="A17" i="35" s="1"/>
  <c r="F16" i="35"/>
  <c r="A16" i="35" s="1"/>
  <c r="F15" i="35"/>
  <c r="A15" i="35" s="1"/>
  <c r="F14" i="35"/>
  <c r="A14" i="35" s="1"/>
  <c r="F13" i="35"/>
  <c r="A13" i="35"/>
  <c r="F12" i="35"/>
  <c r="A12" i="35"/>
  <c r="F11" i="35"/>
  <c r="A11" i="35"/>
  <c r="F10" i="35"/>
  <c r="A10" i="35" s="1"/>
  <c r="F9" i="35"/>
  <c r="A9" i="35" s="1"/>
  <c r="F8" i="35"/>
  <c r="A8" i="35"/>
  <c r="F7" i="35"/>
  <c r="A7" i="35"/>
  <c r="F6" i="35"/>
  <c r="A6" i="35" s="1"/>
  <c r="F5" i="35"/>
  <c r="A5" i="35"/>
  <c r="F4" i="35"/>
  <c r="A4" i="35" s="1"/>
  <c r="F3" i="35"/>
  <c r="A3" i="35" s="1"/>
  <c r="F2" i="35"/>
  <c r="F95" i="33"/>
  <c r="A95" i="33" s="1"/>
  <c r="F94" i="33"/>
  <c r="A94" i="33"/>
  <c r="F93" i="33"/>
  <c r="A93" i="33" s="1"/>
  <c r="F92" i="33"/>
  <c r="A92" i="33"/>
  <c r="F91" i="33"/>
  <c r="A91" i="33" s="1"/>
  <c r="F90" i="33"/>
  <c r="A90" i="33" s="1"/>
  <c r="F89" i="33"/>
  <c r="A89" i="33" s="1"/>
  <c r="F88" i="33"/>
  <c r="A88" i="33"/>
  <c r="F87" i="33"/>
  <c r="A87" i="33" s="1"/>
  <c r="F86" i="33"/>
  <c r="A86" i="33"/>
  <c r="F85" i="33"/>
  <c r="A85" i="33" s="1"/>
  <c r="F84" i="33"/>
  <c r="A84" i="33" s="1"/>
  <c r="F83" i="33"/>
  <c r="A83" i="33" s="1"/>
  <c r="F82" i="33"/>
  <c r="A82" i="33" s="1"/>
  <c r="F81" i="33"/>
  <c r="A81" i="33"/>
  <c r="F80" i="33"/>
  <c r="A80" i="33"/>
  <c r="F79" i="33"/>
  <c r="A79" i="33" s="1"/>
  <c r="F78" i="33"/>
  <c r="A78" i="33" s="1"/>
  <c r="F77" i="33"/>
  <c r="A77" i="33" s="1"/>
  <c r="F76" i="33"/>
  <c r="A76" i="33" s="1"/>
  <c r="F75" i="33"/>
  <c r="A75" i="33"/>
  <c r="F74" i="33"/>
  <c r="A74" i="33" s="1"/>
  <c r="F73" i="33"/>
  <c r="A73" i="33" s="1"/>
  <c r="F72" i="33"/>
  <c r="A72" i="33" s="1"/>
  <c r="F71" i="33"/>
  <c r="A71" i="33" s="1"/>
  <c r="F70" i="33"/>
  <c r="A70" i="33" s="1"/>
  <c r="F69" i="33"/>
  <c r="A69" i="33"/>
  <c r="F68" i="33"/>
  <c r="A68" i="33" s="1"/>
  <c r="F67" i="33"/>
  <c r="A67" i="33" s="1"/>
  <c r="F66" i="33"/>
  <c r="A66" i="33" s="1"/>
  <c r="F65" i="33"/>
  <c r="A65" i="33" s="1"/>
  <c r="F64" i="33"/>
  <c r="A64" i="33"/>
  <c r="F63" i="33"/>
  <c r="A63" i="33" s="1"/>
  <c r="F62" i="33"/>
  <c r="A62" i="33"/>
  <c r="F61" i="33"/>
  <c r="A61" i="33" s="1"/>
  <c r="F60" i="33"/>
  <c r="A60" i="33" s="1"/>
  <c r="F59" i="33"/>
  <c r="A59" i="33" s="1"/>
  <c r="F58" i="33"/>
  <c r="A58" i="33" s="1"/>
  <c r="F57" i="33"/>
  <c r="A57" i="33" s="1"/>
  <c r="F56" i="33"/>
  <c r="A56" i="33"/>
  <c r="F55" i="33"/>
  <c r="A55" i="33" s="1"/>
  <c r="F54" i="33"/>
  <c r="A54" i="33" s="1"/>
  <c r="F53" i="33"/>
  <c r="A53" i="33" s="1"/>
  <c r="F52" i="33"/>
  <c r="A52" i="33"/>
  <c r="F51" i="33"/>
  <c r="A51" i="33"/>
  <c r="F50" i="33"/>
  <c r="A50" i="33"/>
  <c r="F49" i="33"/>
  <c r="A49" i="33" s="1"/>
  <c r="F48" i="33"/>
  <c r="A48" i="33" s="1"/>
  <c r="F47" i="33"/>
  <c r="A47" i="33" s="1"/>
  <c r="F46" i="33"/>
  <c r="A46" i="33" s="1"/>
  <c r="F45" i="33"/>
  <c r="A45" i="33" s="1"/>
  <c r="F44" i="33"/>
  <c r="A44" i="33" s="1"/>
  <c r="F43" i="33"/>
  <c r="A43" i="33" s="1"/>
  <c r="F42" i="33"/>
  <c r="A42" i="33" s="1"/>
  <c r="F41" i="33"/>
  <c r="A41" i="33" s="1"/>
  <c r="F40" i="33"/>
  <c r="A40" i="33"/>
  <c r="F39" i="33"/>
  <c r="A39" i="33"/>
  <c r="F38" i="33"/>
  <c r="A38" i="33" s="1"/>
  <c r="F37" i="33"/>
  <c r="A37" i="33" s="1"/>
  <c r="F36" i="33"/>
  <c r="A36" i="33" s="1"/>
  <c r="F35" i="33"/>
  <c r="A35" i="33" s="1"/>
  <c r="F34" i="33"/>
  <c r="A34" i="33" s="1"/>
  <c r="F33" i="33"/>
  <c r="A33" i="33"/>
  <c r="F32" i="33"/>
  <c r="A32" i="33"/>
  <c r="F31" i="33"/>
  <c r="A31" i="33" s="1"/>
  <c r="F30" i="33"/>
  <c r="A30" i="33" s="1"/>
  <c r="F29" i="33"/>
  <c r="A29" i="33" s="1"/>
  <c r="F28" i="33"/>
  <c r="A28" i="33"/>
  <c r="F27" i="33"/>
  <c r="A27" i="33" s="1"/>
  <c r="F26" i="33"/>
  <c r="A26" i="33"/>
  <c r="F25" i="33"/>
  <c r="A25" i="33" s="1"/>
  <c r="F24" i="33"/>
  <c r="A24" i="33" s="1"/>
  <c r="F23" i="33"/>
  <c r="A23" i="33" s="1"/>
  <c r="F22" i="33"/>
  <c r="A22" i="33"/>
  <c r="F21" i="33"/>
  <c r="A21" i="33" s="1"/>
  <c r="F20" i="33"/>
  <c r="A20" i="33"/>
  <c r="F19" i="33"/>
  <c r="A19" i="33" s="1"/>
  <c r="F18" i="33"/>
  <c r="A18" i="33" s="1"/>
  <c r="F17" i="33"/>
  <c r="A17" i="33" s="1"/>
  <c r="F16" i="33"/>
  <c r="A16" i="33" s="1"/>
  <c r="F15" i="33"/>
  <c r="A15" i="33"/>
  <c r="F14" i="33"/>
  <c r="A14" i="33" s="1"/>
  <c r="F13" i="33"/>
  <c r="A13" i="33" s="1"/>
  <c r="F12" i="33"/>
  <c r="A12" i="33" s="1"/>
  <c r="F11" i="33"/>
  <c r="A11" i="33" s="1"/>
  <c r="F10" i="33"/>
  <c r="A10" i="33" s="1"/>
  <c r="F9" i="33"/>
  <c r="A9" i="33"/>
  <c r="F8" i="33"/>
  <c r="A8" i="33" s="1"/>
  <c r="F7" i="33"/>
  <c r="A7" i="33" s="1"/>
  <c r="F6" i="33"/>
  <c r="A6" i="33" s="1"/>
  <c r="F5" i="33"/>
  <c r="A5" i="33" s="1"/>
  <c r="F4" i="33"/>
  <c r="A4" i="33" s="1"/>
  <c r="F3" i="33"/>
  <c r="A3" i="33"/>
  <c r="F2" i="33"/>
  <c r="F95" i="31"/>
  <c r="A95" i="31"/>
  <c r="F94" i="31"/>
  <c r="A94" i="31" s="1"/>
  <c r="F93" i="31"/>
  <c r="A93" i="31" s="1"/>
  <c r="F92" i="31"/>
  <c r="A92" i="31"/>
  <c r="F91" i="31"/>
  <c r="A91" i="31"/>
  <c r="F90" i="31"/>
  <c r="A90" i="31" s="1"/>
  <c r="F89" i="31"/>
  <c r="A89" i="31" s="1"/>
  <c r="F88" i="31"/>
  <c r="A88" i="31" s="1"/>
  <c r="F87" i="31"/>
  <c r="A87" i="31" s="1"/>
  <c r="F86" i="31"/>
  <c r="A86" i="31"/>
  <c r="F85" i="31"/>
  <c r="A85" i="31" s="1"/>
  <c r="F84" i="31"/>
  <c r="A84" i="31" s="1"/>
  <c r="F83" i="31"/>
  <c r="A83" i="31" s="1"/>
  <c r="F82" i="31"/>
  <c r="A82" i="31" s="1"/>
  <c r="F81" i="31"/>
  <c r="A81" i="31"/>
  <c r="F80" i="31"/>
  <c r="A80" i="31" s="1"/>
  <c r="F79" i="31"/>
  <c r="A79" i="31"/>
  <c r="F78" i="31"/>
  <c r="A78" i="31" s="1"/>
  <c r="F77" i="31"/>
  <c r="A77" i="31" s="1"/>
  <c r="F76" i="31"/>
  <c r="A76" i="31" s="1"/>
  <c r="F75" i="31"/>
  <c r="A75" i="31" s="1"/>
  <c r="F74" i="31"/>
  <c r="A74" i="31"/>
  <c r="F73" i="31"/>
  <c r="A73" i="31" s="1"/>
  <c r="F72" i="31"/>
  <c r="A72" i="31"/>
  <c r="F71" i="31"/>
  <c r="A71" i="31"/>
  <c r="F70" i="31"/>
  <c r="A70" i="31" s="1"/>
  <c r="F69" i="31"/>
  <c r="A69" i="31"/>
  <c r="F68" i="31"/>
  <c r="A68" i="31"/>
  <c r="F67" i="31"/>
  <c r="A67" i="31" s="1"/>
  <c r="F66" i="31"/>
  <c r="A66" i="31"/>
  <c r="F65" i="31"/>
  <c r="A65" i="31" s="1"/>
  <c r="F64" i="31"/>
  <c r="A64" i="31" s="1"/>
  <c r="F63" i="31"/>
  <c r="A63" i="31" s="1"/>
  <c r="F62" i="31"/>
  <c r="A62" i="31"/>
  <c r="F61" i="31"/>
  <c r="A61" i="31"/>
  <c r="F60" i="31"/>
  <c r="A60" i="31" s="1"/>
  <c r="F59" i="31"/>
  <c r="A59" i="31"/>
  <c r="F58" i="31"/>
  <c r="A58" i="31" s="1"/>
  <c r="F57" i="31"/>
  <c r="A57" i="31"/>
  <c r="F56" i="31"/>
  <c r="A56" i="31" s="1"/>
  <c r="F55" i="31"/>
  <c r="A55" i="31" s="1"/>
  <c r="F54" i="31"/>
  <c r="A54" i="31"/>
  <c r="F53" i="31"/>
  <c r="A53" i="31" s="1"/>
  <c r="F52" i="31"/>
  <c r="A52" i="31" s="1"/>
  <c r="F51" i="31"/>
  <c r="A51" i="31" s="1"/>
  <c r="F50" i="31"/>
  <c r="A50" i="31" s="1"/>
  <c r="F49" i="31"/>
  <c r="A49" i="31" s="1"/>
  <c r="F48" i="31"/>
  <c r="A48" i="31" s="1"/>
  <c r="F47" i="31"/>
  <c r="A47" i="31"/>
  <c r="F46" i="31"/>
  <c r="A46" i="31" s="1"/>
  <c r="F45" i="31"/>
  <c r="A45" i="31"/>
  <c r="F44" i="31"/>
  <c r="A44" i="31" s="1"/>
  <c r="F43" i="31"/>
  <c r="A43" i="31" s="1"/>
  <c r="F42" i="31"/>
  <c r="A42" i="31"/>
  <c r="F41" i="31"/>
  <c r="A41" i="31"/>
  <c r="F40" i="31"/>
  <c r="A40" i="31" s="1"/>
  <c r="F39" i="31"/>
  <c r="A39" i="31" s="1"/>
  <c r="F38" i="31"/>
  <c r="A38" i="31"/>
  <c r="F37" i="31"/>
  <c r="A37" i="31" s="1"/>
  <c r="F36" i="31"/>
  <c r="A36" i="31" s="1"/>
  <c r="F35" i="31"/>
  <c r="A35" i="31"/>
  <c r="F34" i="31"/>
  <c r="A34" i="31" s="1"/>
  <c r="F33" i="31"/>
  <c r="A33" i="31"/>
  <c r="F32" i="31"/>
  <c r="A32" i="31" s="1"/>
  <c r="F31" i="31"/>
  <c r="A31" i="31"/>
  <c r="F30" i="31"/>
  <c r="A30" i="31"/>
  <c r="F29" i="31"/>
  <c r="A29" i="31" s="1"/>
  <c r="F28" i="31"/>
  <c r="A28" i="31" s="1"/>
  <c r="F27" i="31"/>
  <c r="A27" i="31"/>
  <c r="F26" i="31"/>
  <c r="A26" i="31" s="1"/>
  <c r="F25" i="31"/>
  <c r="A25" i="31"/>
  <c r="F24" i="31"/>
  <c r="A24" i="31" s="1"/>
  <c r="F23" i="31"/>
  <c r="A23" i="31"/>
  <c r="F22" i="31"/>
  <c r="A22" i="31" s="1"/>
  <c r="F21" i="31"/>
  <c r="A21" i="31"/>
  <c r="F20" i="31"/>
  <c r="A20" i="31"/>
  <c r="F19" i="31"/>
  <c r="A19" i="31" s="1"/>
  <c r="F18" i="31"/>
  <c r="A18" i="31"/>
  <c r="F17" i="31"/>
  <c r="A17" i="31" s="1"/>
  <c r="F16" i="31"/>
  <c r="A16" i="31" s="1"/>
  <c r="F15" i="31"/>
  <c r="A15" i="31" s="1"/>
  <c r="F14" i="31"/>
  <c r="A14" i="31" s="1"/>
  <c r="F13" i="31"/>
  <c r="A13" i="31"/>
  <c r="F12" i="31"/>
  <c r="A12" i="31" s="1"/>
  <c r="F11" i="31"/>
  <c r="A11" i="31" s="1"/>
  <c r="F10" i="31"/>
  <c r="A10" i="31" s="1"/>
  <c r="F9" i="31"/>
  <c r="A9" i="31"/>
  <c r="F8" i="31"/>
  <c r="A8" i="31" s="1"/>
  <c r="F7" i="31"/>
  <c r="A7" i="31" s="1"/>
  <c r="F6" i="31"/>
  <c r="A6" i="31"/>
  <c r="F5" i="31"/>
  <c r="A5" i="31" s="1"/>
  <c r="F4" i="31"/>
  <c r="A4" i="31" s="1"/>
  <c r="F3" i="31"/>
  <c r="A3" i="31" s="1"/>
  <c r="F2" i="31"/>
  <c r="A91" i="29"/>
  <c r="F95" i="29"/>
  <c r="A95" i="29"/>
  <c r="F94" i="29"/>
  <c r="A94" i="29"/>
  <c r="F93" i="29"/>
  <c r="A93" i="29"/>
  <c r="F92" i="29"/>
  <c r="A92" i="29" s="1"/>
  <c r="F91" i="29"/>
  <c r="F90" i="29"/>
  <c r="A90" i="29" s="1"/>
  <c r="F89" i="29"/>
  <c r="A89" i="29"/>
  <c r="F88" i="29"/>
  <c r="A88" i="29"/>
  <c r="F87" i="29"/>
  <c r="A87" i="29" s="1"/>
  <c r="F86" i="29"/>
  <c r="A86" i="29" s="1"/>
  <c r="F85" i="29"/>
  <c r="A85" i="29" s="1"/>
  <c r="F84" i="29"/>
  <c r="A84" i="29" s="1"/>
  <c r="F83" i="29"/>
  <c r="A83" i="29" s="1"/>
  <c r="F82" i="29"/>
  <c r="A82" i="29"/>
  <c r="F81" i="29"/>
  <c r="A81" i="29"/>
  <c r="F80" i="29"/>
  <c r="A80" i="29" s="1"/>
  <c r="F79" i="29"/>
  <c r="A79" i="29" s="1"/>
  <c r="F78" i="29"/>
  <c r="A78" i="29" s="1"/>
  <c r="F77" i="29"/>
  <c r="A77" i="29" s="1"/>
  <c r="F76" i="29"/>
  <c r="A76" i="29"/>
  <c r="F75" i="29"/>
  <c r="A75" i="29" s="1"/>
  <c r="F74" i="29"/>
  <c r="A74" i="29" s="1"/>
  <c r="F73" i="29"/>
  <c r="A73" i="29" s="1"/>
  <c r="F72" i="29"/>
  <c r="A72" i="29" s="1"/>
  <c r="F71" i="29"/>
  <c r="A71" i="29"/>
  <c r="F70" i="29"/>
  <c r="A70" i="29" s="1"/>
  <c r="F69" i="29"/>
  <c r="A69" i="29"/>
  <c r="F68" i="29"/>
  <c r="A68" i="29" s="1"/>
  <c r="F67" i="29"/>
  <c r="A67" i="29" s="1"/>
  <c r="F66" i="29"/>
  <c r="A66" i="29" s="1"/>
  <c r="F65" i="29"/>
  <c r="A65" i="29"/>
  <c r="F64" i="29"/>
  <c r="A64" i="29"/>
  <c r="F63" i="29"/>
  <c r="A63" i="29"/>
  <c r="F62" i="29"/>
  <c r="A62" i="29" s="1"/>
  <c r="F61" i="29"/>
  <c r="A61" i="29" s="1"/>
  <c r="F60" i="29"/>
  <c r="A60" i="29" s="1"/>
  <c r="F59" i="29"/>
  <c r="A59" i="29" s="1"/>
  <c r="F58" i="29"/>
  <c r="A58" i="29" s="1"/>
  <c r="F57" i="29"/>
  <c r="A57" i="29"/>
  <c r="F56" i="29"/>
  <c r="A56" i="29" s="1"/>
  <c r="F55" i="29"/>
  <c r="A55" i="29" s="1"/>
  <c r="F54" i="29"/>
  <c r="A54" i="29" s="1"/>
  <c r="F53" i="29"/>
  <c r="A53" i="29" s="1"/>
  <c r="F52" i="29"/>
  <c r="A52" i="29"/>
  <c r="F51" i="29"/>
  <c r="A51" i="29" s="1"/>
  <c r="F50" i="29"/>
  <c r="A50" i="29" s="1"/>
  <c r="F49" i="29"/>
  <c r="A49" i="29" s="1"/>
  <c r="F48" i="29"/>
  <c r="A48" i="29" s="1"/>
  <c r="F47" i="29"/>
  <c r="A47" i="29"/>
  <c r="F46" i="29"/>
  <c r="A46" i="29"/>
  <c r="F45" i="29"/>
  <c r="A45" i="29"/>
  <c r="F44" i="29"/>
  <c r="A44" i="29" s="1"/>
  <c r="F43" i="29"/>
  <c r="A43" i="29" s="1"/>
  <c r="F42" i="29"/>
  <c r="A42" i="29" s="1"/>
  <c r="F41" i="29"/>
  <c r="A41" i="29" s="1"/>
  <c r="F40" i="29"/>
  <c r="A40" i="29"/>
  <c r="F39" i="29"/>
  <c r="A39" i="29"/>
  <c r="F38" i="29"/>
  <c r="A38" i="29" s="1"/>
  <c r="F37" i="29"/>
  <c r="A37" i="29" s="1"/>
  <c r="F36" i="29"/>
  <c r="A36" i="29" s="1"/>
  <c r="F35" i="29"/>
  <c r="A35" i="29"/>
  <c r="F34" i="29"/>
  <c r="A34" i="29" s="1"/>
  <c r="F33" i="29"/>
  <c r="A33" i="29"/>
  <c r="F32" i="29"/>
  <c r="A32" i="29" s="1"/>
  <c r="F31" i="29"/>
  <c r="A31" i="29" s="1"/>
  <c r="F30" i="29"/>
  <c r="A30" i="29" s="1"/>
  <c r="F29" i="29"/>
  <c r="A29" i="29" s="1"/>
  <c r="F28" i="29"/>
  <c r="A28" i="29"/>
  <c r="F27" i="29"/>
  <c r="A27" i="29"/>
  <c r="F26" i="29"/>
  <c r="A26" i="29" s="1"/>
  <c r="F25" i="29"/>
  <c r="A25" i="29" s="1"/>
  <c r="F24" i="29"/>
  <c r="A24" i="29" s="1"/>
  <c r="F23" i="29"/>
  <c r="A23" i="29"/>
  <c r="F22" i="29"/>
  <c r="A22" i="29"/>
  <c r="F21" i="29"/>
  <c r="A21" i="29" s="1"/>
  <c r="F20" i="29"/>
  <c r="A20" i="29" s="1"/>
  <c r="F19" i="29"/>
  <c r="A19" i="29" s="1"/>
  <c r="F18" i="29"/>
  <c r="A18" i="29" s="1"/>
  <c r="F17" i="29"/>
  <c r="A17" i="29" s="1"/>
  <c r="F16" i="29"/>
  <c r="A16" i="29"/>
  <c r="F15" i="29"/>
  <c r="A15" i="29"/>
  <c r="F14" i="29"/>
  <c r="A14" i="29" s="1"/>
  <c r="F13" i="29"/>
  <c r="A13" i="29" s="1"/>
  <c r="F12" i="29"/>
  <c r="A12" i="29" s="1"/>
  <c r="F11" i="29"/>
  <c r="A11" i="29"/>
  <c r="F10" i="29"/>
  <c r="A10" i="29" s="1"/>
  <c r="F9" i="29"/>
  <c r="A9" i="29" s="1"/>
  <c r="F8" i="29"/>
  <c r="A8" i="29" s="1"/>
  <c r="F7" i="29"/>
  <c r="A7" i="29" s="1"/>
  <c r="F6" i="29"/>
  <c r="A6" i="29" s="1"/>
  <c r="F5" i="29"/>
  <c r="A5" i="29" s="1"/>
  <c r="F4" i="29"/>
  <c r="A4" i="29" s="1"/>
  <c r="F3" i="29"/>
  <c r="A3" i="29"/>
  <c r="F2" i="29"/>
  <c r="F95" i="28"/>
  <c r="A95" i="28" s="1"/>
  <c r="F94" i="28"/>
  <c r="A94" i="28"/>
  <c r="F93" i="28"/>
  <c r="A93" i="28" s="1"/>
  <c r="F92" i="28"/>
  <c r="A92" i="28" s="1"/>
  <c r="F91" i="28"/>
  <c r="A91" i="28" s="1"/>
  <c r="F90" i="28"/>
  <c r="A90" i="28"/>
  <c r="F89" i="28"/>
  <c r="A89" i="28" s="1"/>
  <c r="F88" i="28"/>
  <c r="A88" i="28"/>
  <c r="F87" i="28"/>
  <c r="A87" i="28"/>
  <c r="F86" i="28"/>
  <c r="A86" i="28"/>
  <c r="F85" i="28"/>
  <c r="A85" i="28" s="1"/>
  <c r="F84" i="28"/>
  <c r="A84" i="28"/>
  <c r="F83" i="28"/>
  <c r="A83" i="28" s="1"/>
  <c r="F82" i="28"/>
  <c r="A82" i="28"/>
  <c r="F81" i="28"/>
  <c r="A81" i="28"/>
  <c r="F80" i="28"/>
  <c r="A80" i="28"/>
  <c r="F79" i="28"/>
  <c r="A79" i="28" s="1"/>
  <c r="F78" i="28"/>
  <c r="A78" i="28"/>
  <c r="F77" i="28"/>
  <c r="A77" i="28" s="1"/>
  <c r="F76" i="28"/>
  <c r="A76" i="28" s="1"/>
  <c r="F75" i="28"/>
  <c r="A75" i="28"/>
  <c r="F74" i="28"/>
  <c r="A74" i="28"/>
  <c r="F73" i="28"/>
  <c r="A73" i="28" s="1"/>
  <c r="F72" i="28"/>
  <c r="A72" i="28" s="1"/>
  <c r="F71" i="28"/>
  <c r="A71" i="28" s="1"/>
  <c r="F70" i="28"/>
  <c r="A70" i="28" s="1"/>
  <c r="F69" i="28"/>
  <c r="A69" i="28" s="1"/>
  <c r="F68" i="28"/>
  <c r="A68" i="28"/>
  <c r="F67" i="28"/>
  <c r="A67" i="28" s="1"/>
  <c r="F66" i="28"/>
  <c r="A66" i="28"/>
  <c r="F65" i="28"/>
  <c r="A65" i="28" s="1"/>
  <c r="F64" i="28"/>
  <c r="A64" i="28"/>
  <c r="F63" i="28"/>
  <c r="A63" i="28" s="1"/>
  <c r="F62" i="28"/>
  <c r="A62" i="28" s="1"/>
  <c r="F61" i="28"/>
  <c r="A61" i="28" s="1"/>
  <c r="F60" i="28"/>
  <c r="A60" i="28"/>
  <c r="F59" i="28"/>
  <c r="A59" i="28" s="1"/>
  <c r="F58" i="28"/>
  <c r="A58" i="28"/>
  <c r="F57" i="28"/>
  <c r="A57" i="28"/>
  <c r="F56" i="28"/>
  <c r="A56" i="28" s="1"/>
  <c r="F55" i="28"/>
  <c r="A55" i="28" s="1"/>
  <c r="F54" i="28"/>
  <c r="A54" i="28"/>
  <c r="F53" i="28"/>
  <c r="A53" i="28" s="1"/>
  <c r="F52" i="28"/>
  <c r="A52" i="28"/>
  <c r="F51" i="28"/>
  <c r="A51" i="28"/>
  <c r="F50" i="28"/>
  <c r="A50" i="28"/>
  <c r="F49" i="28"/>
  <c r="A49" i="28" s="1"/>
  <c r="F48" i="28"/>
  <c r="A48" i="28"/>
  <c r="F47" i="28"/>
  <c r="A47" i="28" s="1"/>
  <c r="F46" i="28"/>
  <c r="A46" i="28"/>
  <c r="F45" i="28"/>
  <c r="A45" i="28"/>
  <c r="F44" i="28"/>
  <c r="A44" i="28"/>
  <c r="F43" i="28"/>
  <c r="A43" i="28" s="1"/>
  <c r="F42" i="28"/>
  <c r="A42" i="28"/>
  <c r="F41" i="28"/>
  <c r="A41" i="28" s="1"/>
  <c r="F40" i="28"/>
  <c r="A40" i="28" s="1"/>
  <c r="F39" i="28"/>
  <c r="A39" i="28"/>
  <c r="F38" i="28"/>
  <c r="A38" i="28"/>
  <c r="F37" i="28"/>
  <c r="A37" i="28" s="1"/>
  <c r="F36" i="28"/>
  <c r="A36" i="28" s="1"/>
  <c r="F35" i="28"/>
  <c r="A35" i="28" s="1"/>
  <c r="F34" i="28"/>
  <c r="A34" i="28" s="1"/>
  <c r="F33" i="28"/>
  <c r="A33" i="28" s="1"/>
  <c r="F32" i="28"/>
  <c r="A32" i="28"/>
  <c r="F31" i="28"/>
  <c r="A31" i="28" s="1"/>
  <c r="F30" i="28"/>
  <c r="A30" i="28"/>
  <c r="F29" i="28"/>
  <c r="A29" i="28" s="1"/>
  <c r="F28" i="28"/>
  <c r="A28" i="28"/>
  <c r="F27" i="28"/>
  <c r="A27" i="28" s="1"/>
  <c r="F26" i="28"/>
  <c r="A26" i="28" s="1"/>
  <c r="F25" i="28"/>
  <c r="A25" i="28" s="1"/>
  <c r="F24" i="28"/>
  <c r="A24" i="28"/>
  <c r="F23" i="28"/>
  <c r="A23" i="28" s="1"/>
  <c r="F22" i="28"/>
  <c r="A22" i="28"/>
  <c r="F21" i="28"/>
  <c r="A21" i="28"/>
  <c r="F20" i="28"/>
  <c r="A20" i="28" s="1"/>
  <c r="F19" i="28"/>
  <c r="A19" i="28" s="1"/>
  <c r="F18" i="28"/>
  <c r="A18" i="28"/>
  <c r="F17" i="28"/>
  <c r="A17" i="28" s="1"/>
  <c r="F16" i="28"/>
  <c r="A16" i="28"/>
  <c r="F15" i="28"/>
  <c r="A15" i="28"/>
  <c r="F14" i="28"/>
  <c r="A14" i="28"/>
  <c r="F13" i="28"/>
  <c r="A13" i="28" s="1"/>
  <c r="F12" i="28"/>
  <c r="A12" i="28"/>
  <c r="F11" i="28"/>
  <c r="A11" i="28" s="1"/>
  <c r="F10" i="28"/>
  <c r="A10" i="28"/>
  <c r="F9" i="28"/>
  <c r="A9" i="28"/>
  <c r="F8" i="28"/>
  <c r="A8" i="28"/>
  <c r="F7" i="28"/>
  <c r="A7" i="28" s="1"/>
  <c r="F6" i="28"/>
  <c r="A6" i="28"/>
  <c r="F5" i="28"/>
  <c r="A5" i="28" s="1"/>
  <c r="F4" i="28"/>
  <c r="A4" i="28" s="1"/>
  <c r="F3" i="28"/>
  <c r="A3" i="28"/>
  <c r="F2" i="28"/>
  <c r="A9" i="27"/>
  <c r="A14" i="27"/>
  <c r="A33" i="27"/>
  <c r="A37" i="27"/>
  <c r="A38" i="27"/>
  <c r="A45" i="27"/>
  <c r="A69" i="27"/>
  <c r="A73" i="27"/>
  <c r="A74" i="27"/>
  <c r="A81" i="27"/>
  <c r="F3" i="27"/>
  <c r="A3" i="27" s="1"/>
  <c r="F4" i="27"/>
  <c r="A4" i="27" s="1"/>
  <c r="F5" i="27"/>
  <c r="A5" i="27" s="1"/>
  <c r="F6" i="27"/>
  <c r="A6" i="27" s="1"/>
  <c r="F7" i="27"/>
  <c r="A7" i="27" s="1"/>
  <c r="F8" i="27"/>
  <c r="A8" i="27" s="1"/>
  <c r="F9" i="27"/>
  <c r="F10" i="27"/>
  <c r="A10" i="27" s="1"/>
  <c r="F11" i="27"/>
  <c r="A11" i="27" s="1"/>
  <c r="F12" i="27"/>
  <c r="A12" i="27" s="1"/>
  <c r="F13" i="27"/>
  <c r="A13" i="27" s="1"/>
  <c r="F14" i="27"/>
  <c r="F15" i="27"/>
  <c r="A15" i="27" s="1"/>
  <c r="F16" i="27"/>
  <c r="A16" i="27" s="1"/>
  <c r="F17" i="27"/>
  <c r="A17" i="27" s="1"/>
  <c r="F18" i="27"/>
  <c r="A18" i="27" s="1"/>
  <c r="F19" i="27"/>
  <c r="A19" i="27" s="1"/>
  <c r="F20" i="27"/>
  <c r="A20" i="27" s="1"/>
  <c r="F21" i="27"/>
  <c r="A21" i="27" s="1"/>
  <c r="F22" i="27"/>
  <c r="A22" i="27" s="1"/>
  <c r="F23" i="27"/>
  <c r="A23" i="27" s="1"/>
  <c r="F24" i="27"/>
  <c r="A24" i="27" s="1"/>
  <c r="F25" i="27"/>
  <c r="A25" i="27" s="1"/>
  <c r="F26" i="27"/>
  <c r="A26" i="27" s="1"/>
  <c r="F27" i="27"/>
  <c r="A27" i="27" s="1"/>
  <c r="F28" i="27"/>
  <c r="A28" i="27" s="1"/>
  <c r="F29" i="27"/>
  <c r="A29" i="27" s="1"/>
  <c r="F30" i="27"/>
  <c r="A30" i="27" s="1"/>
  <c r="F31" i="27"/>
  <c r="A31" i="27" s="1"/>
  <c r="F32" i="27"/>
  <c r="A32" i="27" s="1"/>
  <c r="F33" i="27"/>
  <c r="F34" i="27"/>
  <c r="A34" i="27" s="1"/>
  <c r="F35" i="27"/>
  <c r="A35" i="27" s="1"/>
  <c r="F36" i="27"/>
  <c r="A36" i="27" s="1"/>
  <c r="F37" i="27"/>
  <c r="F38" i="27"/>
  <c r="F39" i="27"/>
  <c r="A39" i="27" s="1"/>
  <c r="F40" i="27"/>
  <c r="A40" i="27" s="1"/>
  <c r="F41" i="27"/>
  <c r="A41" i="27" s="1"/>
  <c r="F42" i="27"/>
  <c r="A42" i="27" s="1"/>
  <c r="F43" i="27"/>
  <c r="A43" i="27" s="1"/>
  <c r="F44" i="27"/>
  <c r="A44" i="27" s="1"/>
  <c r="F45" i="27"/>
  <c r="F46" i="27"/>
  <c r="A46" i="27" s="1"/>
  <c r="F47" i="27"/>
  <c r="A47" i="27" s="1"/>
  <c r="F48" i="27"/>
  <c r="A48" i="27" s="1"/>
  <c r="F49" i="27"/>
  <c r="A49" i="27" s="1"/>
  <c r="F50" i="27"/>
  <c r="A50" i="27" s="1"/>
  <c r="F51" i="27"/>
  <c r="A51" i="27" s="1"/>
  <c r="F52" i="27"/>
  <c r="A52" i="27" s="1"/>
  <c r="F53" i="27"/>
  <c r="A53" i="27" s="1"/>
  <c r="F54" i="27"/>
  <c r="A54" i="27" s="1"/>
  <c r="F55" i="27"/>
  <c r="A55" i="27" s="1"/>
  <c r="F56" i="27"/>
  <c r="A56" i="27" s="1"/>
  <c r="F57" i="27"/>
  <c r="A57" i="27" s="1"/>
  <c r="F58" i="27"/>
  <c r="A58" i="27" s="1"/>
  <c r="F59" i="27"/>
  <c r="A59" i="27" s="1"/>
  <c r="F60" i="27"/>
  <c r="A60" i="27" s="1"/>
  <c r="F61" i="27"/>
  <c r="A61" i="27" s="1"/>
  <c r="F62" i="27"/>
  <c r="A62" i="27" s="1"/>
  <c r="F63" i="27"/>
  <c r="A63" i="27" s="1"/>
  <c r="F64" i="27"/>
  <c r="A64" i="27" s="1"/>
  <c r="F65" i="27"/>
  <c r="A65" i="27" s="1"/>
  <c r="F66" i="27"/>
  <c r="A66" i="27" s="1"/>
  <c r="F67" i="27"/>
  <c r="A67" i="27" s="1"/>
  <c r="F68" i="27"/>
  <c r="A68" i="27" s="1"/>
  <c r="F69" i="27"/>
  <c r="F70" i="27"/>
  <c r="A70" i="27" s="1"/>
  <c r="F71" i="27"/>
  <c r="A71" i="27" s="1"/>
  <c r="F72" i="27"/>
  <c r="A72" i="27" s="1"/>
  <c r="F73" i="27"/>
  <c r="F74" i="27"/>
  <c r="F75" i="27"/>
  <c r="A75" i="27" s="1"/>
  <c r="F76" i="27"/>
  <c r="A76" i="27" s="1"/>
  <c r="F77" i="27"/>
  <c r="A77" i="27" s="1"/>
  <c r="F78" i="27"/>
  <c r="A78" i="27" s="1"/>
  <c r="F79" i="27"/>
  <c r="A79" i="27" s="1"/>
  <c r="F80" i="27"/>
  <c r="A80" i="27" s="1"/>
  <c r="F81" i="27"/>
  <c r="F82" i="27"/>
  <c r="A82" i="27" s="1"/>
  <c r="F83" i="27"/>
  <c r="A83" i="27" s="1"/>
  <c r="F84" i="27"/>
  <c r="A84" i="27" s="1"/>
  <c r="F85" i="27"/>
  <c r="A85" i="27" s="1"/>
  <c r="F86" i="27"/>
  <c r="A86" i="27" s="1"/>
  <c r="F87" i="27"/>
  <c r="A87" i="27" s="1"/>
  <c r="F88" i="27"/>
  <c r="A88" i="27" s="1"/>
  <c r="F89" i="27"/>
  <c r="A89" i="27" s="1"/>
  <c r="F90" i="27"/>
  <c r="A90" i="27" s="1"/>
  <c r="F91" i="27"/>
  <c r="A91" i="27" s="1"/>
  <c r="F92" i="27"/>
  <c r="A92" i="27" s="1"/>
  <c r="F93" i="27"/>
  <c r="A93" i="27" s="1"/>
  <c r="F94" i="27"/>
  <c r="A94" i="27" s="1"/>
  <c r="F95" i="27"/>
  <c r="A95" i="27" s="1"/>
  <c r="F96" i="27"/>
  <c r="A96" i="27" s="1"/>
  <c r="F97" i="27"/>
  <c r="A97" i="27" s="1"/>
  <c r="F98" i="27"/>
  <c r="A98" i="27" s="1"/>
  <c r="F99" i="27"/>
  <c r="A99" i="27" s="1"/>
  <c r="F2" i="27"/>
  <c r="A2" i="27" s="1"/>
  <c r="F58" i="26"/>
  <c r="A58" i="26" s="1"/>
  <c r="F57" i="26"/>
  <c r="A57" i="26" s="1"/>
  <c r="F56" i="26"/>
  <c r="A56" i="26"/>
  <c r="F55" i="26"/>
  <c r="A55" i="26"/>
  <c r="F54" i="26"/>
  <c r="A54" i="26" s="1"/>
  <c r="F53" i="26"/>
  <c r="A53" i="26"/>
  <c r="F52" i="26"/>
  <c r="A52" i="26" s="1"/>
  <c r="F51" i="26"/>
  <c r="A51" i="26" s="1"/>
  <c r="F50" i="26"/>
  <c r="A50" i="26"/>
  <c r="F49" i="26"/>
  <c r="A49" i="26"/>
  <c r="F48" i="26"/>
  <c r="A48" i="26" s="1"/>
  <c r="F47" i="26"/>
  <c r="A47" i="26"/>
  <c r="F46" i="26"/>
  <c r="A46" i="26"/>
  <c r="F45" i="26"/>
  <c r="A45" i="26" s="1"/>
  <c r="F44" i="26"/>
  <c r="A44" i="26" s="1"/>
  <c r="F43" i="26"/>
  <c r="A43" i="26" s="1"/>
  <c r="F42" i="26"/>
  <c r="A42" i="26" s="1"/>
  <c r="F41" i="26"/>
  <c r="A41" i="26"/>
  <c r="F40" i="26"/>
  <c r="A40" i="26"/>
  <c r="F39" i="26"/>
  <c r="A39" i="26" s="1"/>
  <c r="F38" i="26"/>
  <c r="A38" i="26" s="1"/>
  <c r="F37" i="26"/>
  <c r="A37" i="26" s="1"/>
  <c r="F36" i="26"/>
  <c r="A36" i="26" s="1"/>
  <c r="F35" i="26"/>
  <c r="A35" i="26" s="1"/>
  <c r="F34" i="26"/>
  <c r="A34" i="26"/>
  <c r="F33" i="26"/>
  <c r="A33" i="26"/>
  <c r="F32" i="26"/>
  <c r="A32" i="26"/>
  <c r="F31" i="26"/>
  <c r="A31" i="26"/>
  <c r="F30" i="26"/>
  <c r="A30" i="26" s="1"/>
  <c r="F29" i="26"/>
  <c r="A29" i="26"/>
  <c r="F28" i="26"/>
  <c r="A28" i="26"/>
  <c r="F27" i="26"/>
  <c r="A27" i="26"/>
  <c r="F26" i="26"/>
  <c r="A26" i="26"/>
  <c r="F25" i="26"/>
  <c r="A25" i="26" s="1"/>
  <c r="F24" i="26"/>
  <c r="A24" i="26" s="1"/>
  <c r="F23" i="26"/>
  <c r="A23" i="26"/>
  <c r="F22" i="26"/>
  <c r="A22" i="26"/>
  <c r="F21" i="26"/>
  <c r="A21" i="26"/>
  <c r="F20" i="26"/>
  <c r="A20" i="26"/>
  <c r="F19" i="26"/>
  <c r="A19" i="26"/>
  <c r="F18" i="26"/>
  <c r="A18" i="26" s="1"/>
  <c r="F17" i="26"/>
  <c r="A17" i="26" s="1"/>
  <c r="F16" i="26"/>
  <c r="A16" i="26"/>
  <c r="F15" i="26"/>
  <c r="A15" i="26"/>
  <c r="F14" i="26"/>
  <c r="A14" i="26"/>
  <c r="F13" i="26"/>
  <c r="A13" i="26"/>
  <c r="F12" i="26"/>
  <c r="A12" i="26" s="1"/>
  <c r="F11" i="26"/>
  <c r="A11" i="26"/>
  <c r="F10" i="26"/>
  <c r="F9" i="26"/>
  <c r="A9" i="26" s="1"/>
  <c r="F8" i="26"/>
  <c r="A8" i="26" s="1"/>
  <c r="F7" i="26"/>
  <c r="A7" i="26"/>
  <c r="F6" i="26"/>
  <c r="A6" i="26" s="1"/>
  <c r="F5" i="26"/>
  <c r="A5" i="26" s="1"/>
  <c r="F4" i="26"/>
  <c r="A4" i="26" s="1"/>
  <c r="F3" i="26"/>
  <c r="A3" i="26" s="1"/>
  <c r="F2" i="26"/>
  <c r="A3" i="15"/>
  <c r="A4" i="15"/>
  <c r="A7" i="15"/>
  <c r="A16" i="15"/>
  <c r="A17" i="15"/>
  <c r="A18" i="15"/>
  <c r="A19" i="15"/>
  <c r="A28" i="15"/>
  <c r="A29" i="15"/>
  <c r="A31" i="15"/>
  <c r="A32" i="15"/>
  <c r="A33" i="15"/>
  <c r="A40" i="15"/>
  <c r="A43" i="15"/>
  <c r="A44" i="15"/>
  <c r="A46" i="15"/>
  <c r="A48" i="15"/>
  <c r="A51" i="15"/>
  <c r="A52" i="15"/>
  <c r="A55" i="15"/>
  <c r="A64" i="15"/>
  <c r="A65" i="15"/>
  <c r="A66" i="15"/>
  <c r="A67" i="15"/>
  <c r="A76" i="15"/>
  <c r="A77" i="15"/>
  <c r="A79" i="15"/>
  <c r="A80" i="15"/>
  <c r="A81" i="15"/>
  <c r="A88" i="15"/>
  <c r="F2" i="15"/>
  <c r="A5" i="21"/>
  <c r="A3" i="23"/>
  <c r="A4" i="23"/>
  <c r="A9" i="23"/>
  <c r="A11" i="23"/>
  <c r="A12" i="23"/>
  <c r="A13" i="23"/>
  <c r="A14" i="23"/>
  <c r="A15" i="23"/>
  <c r="A16" i="23"/>
  <c r="A21" i="23"/>
  <c r="A23" i="23"/>
  <c r="A24" i="23"/>
  <c r="A25" i="23"/>
  <c r="A26" i="23"/>
  <c r="A27" i="23"/>
  <c r="A28" i="23"/>
  <c r="A33" i="23"/>
  <c r="A35" i="23"/>
  <c r="A36" i="23"/>
  <c r="A37" i="23"/>
  <c r="A38" i="23"/>
  <c r="A39" i="23"/>
  <c r="A40" i="23"/>
  <c r="A45" i="23"/>
  <c r="A47" i="23"/>
  <c r="A48" i="23"/>
  <c r="A49" i="23"/>
  <c r="A50" i="23"/>
  <c r="A51" i="23"/>
  <c r="A52" i="23"/>
  <c r="A57" i="23"/>
  <c r="A59" i="23"/>
  <c r="A60" i="23"/>
  <c r="A61" i="23"/>
  <c r="A62" i="23"/>
  <c r="A63" i="23"/>
  <c r="A64" i="23"/>
  <c r="A69" i="23"/>
  <c r="A71" i="23"/>
  <c r="A72" i="23"/>
  <c r="A73" i="23"/>
  <c r="A74" i="23"/>
  <c r="A75" i="23"/>
  <c r="A76" i="23"/>
  <c r="A81" i="23"/>
  <c r="A83" i="23"/>
  <c r="A84" i="23"/>
  <c r="A85" i="23"/>
  <c r="A86" i="23"/>
  <c r="A87" i="23"/>
  <c r="A88" i="23"/>
  <c r="A93" i="23"/>
  <c r="A94" i="23"/>
  <c r="F3" i="15"/>
  <c r="F4" i="15"/>
  <c r="F5" i="15"/>
  <c r="A5" i="15" s="1"/>
  <c r="F6" i="15"/>
  <c r="A6" i="15" s="1"/>
  <c r="F7" i="15"/>
  <c r="F8" i="15"/>
  <c r="A8" i="15" s="1"/>
  <c r="F9" i="15"/>
  <c r="A9" i="15" s="1"/>
  <c r="F10" i="15"/>
  <c r="A10" i="15" s="1"/>
  <c r="F11" i="15"/>
  <c r="A11" i="15" s="1"/>
  <c r="F12" i="15"/>
  <c r="A12" i="15" s="1"/>
  <c r="F13" i="15"/>
  <c r="A13" i="15" s="1"/>
  <c r="F14" i="15"/>
  <c r="A14" i="15" s="1"/>
  <c r="F15" i="15"/>
  <c r="A15" i="15" s="1"/>
  <c r="F16" i="15"/>
  <c r="F17" i="15"/>
  <c r="F18" i="15"/>
  <c r="F19" i="15"/>
  <c r="F20" i="15"/>
  <c r="A20" i="15" s="1"/>
  <c r="F21" i="15"/>
  <c r="A21" i="15" s="1"/>
  <c r="F22" i="15"/>
  <c r="A22" i="15" s="1"/>
  <c r="F23" i="15"/>
  <c r="A23" i="15" s="1"/>
  <c r="F24" i="15"/>
  <c r="A24" i="15" s="1"/>
  <c r="F25" i="15"/>
  <c r="A25" i="15" s="1"/>
  <c r="F26" i="15"/>
  <c r="A26" i="15" s="1"/>
  <c r="F27" i="15"/>
  <c r="A27" i="15" s="1"/>
  <c r="F28" i="15"/>
  <c r="F29" i="15"/>
  <c r="F30" i="15"/>
  <c r="A30" i="15" s="1"/>
  <c r="F31" i="15"/>
  <c r="F32" i="15"/>
  <c r="F33" i="15"/>
  <c r="F34" i="15"/>
  <c r="A34" i="15" s="1"/>
  <c r="F35" i="15"/>
  <c r="A35" i="15" s="1"/>
  <c r="F36" i="15"/>
  <c r="A36" i="15" s="1"/>
  <c r="F37" i="15"/>
  <c r="A37" i="15" s="1"/>
  <c r="F38" i="15"/>
  <c r="A38" i="15" s="1"/>
  <c r="F39" i="15"/>
  <c r="A39" i="15" s="1"/>
  <c r="F40" i="15"/>
  <c r="F41" i="15"/>
  <c r="A41" i="15" s="1"/>
  <c r="F42" i="15"/>
  <c r="A42" i="15" s="1"/>
  <c r="F43" i="15"/>
  <c r="F44" i="15"/>
  <c r="F45" i="15"/>
  <c r="A45" i="15" s="1"/>
  <c r="F46" i="15"/>
  <c r="F47" i="15"/>
  <c r="A47" i="15" s="1"/>
  <c r="F48" i="15"/>
  <c r="F49" i="15"/>
  <c r="A49" i="15" s="1"/>
  <c r="F50" i="15"/>
  <c r="A50" i="15" s="1"/>
  <c r="F51" i="15"/>
  <c r="F52" i="15"/>
  <c r="F53" i="15"/>
  <c r="A53" i="15" s="1"/>
  <c r="F54" i="15"/>
  <c r="A54" i="15" s="1"/>
  <c r="F55" i="15"/>
  <c r="F56" i="15"/>
  <c r="A56" i="15" s="1"/>
  <c r="F57" i="15"/>
  <c r="A57" i="15" s="1"/>
  <c r="F58" i="15"/>
  <c r="A58" i="15" s="1"/>
  <c r="F59" i="15"/>
  <c r="A59" i="15" s="1"/>
  <c r="F60" i="15"/>
  <c r="A60" i="15" s="1"/>
  <c r="F61" i="15"/>
  <c r="A61" i="15" s="1"/>
  <c r="F62" i="15"/>
  <c r="A62" i="15" s="1"/>
  <c r="F63" i="15"/>
  <c r="A63" i="15" s="1"/>
  <c r="F64" i="15"/>
  <c r="F65" i="15"/>
  <c r="F66" i="15"/>
  <c r="F67" i="15"/>
  <c r="F68" i="15"/>
  <c r="A68" i="15" s="1"/>
  <c r="F69" i="15"/>
  <c r="A69" i="15" s="1"/>
  <c r="F70" i="15"/>
  <c r="A70" i="15" s="1"/>
  <c r="F71" i="15"/>
  <c r="A71" i="15" s="1"/>
  <c r="F72" i="15"/>
  <c r="A72" i="15" s="1"/>
  <c r="F73" i="15"/>
  <c r="A73" i="15" s="1"/>
  <c r="F74" i="15"/>
  <c r="A74" i="15" s="1"/>
  <c r="F75" i="15"/>
  <c r="A75" i="15" s="1"/>
  <c r="F76" i="15"/>
  <c r="F77" i="15"/>
  <c r="F78" i="15"/>
  <c r="A78" i="15" s="1"/>
  <c r="F79" i="15"/>
  <c r="F80" i="15"/>
  <c r="F81" i="15"/>
  <c r="F82" i="15"/>
  <c r="A82" i="15" s="1"/>
  <c r="F83" i="15"/>
  <c r="A83" i="15" s="1"/>
  <c r="F84" i="15"/>
  <c r="A84" i="15" s="1"/>
  <c r="F85" i="15"/>
  <c r="A85" i="15" s="1"/>
  <c r="F86" i="15"/>
  <c r="A86" i="15" s="1"/>
  <c r="F87" i="15"/>
  <c r="A87" i="15" s="1"/>
  <c r="F88" i="15"/>
  <c r="F89" i="15"/>
  <c r="A89" i="15" s="1"/>
  <c r="F90" i="15"/>
  <c r="A90" i="15" s="1"/>
  <c r="F91" i="15"/>
  <c r="A91" i="15" s="1"/>
  <c r="F92" i="15"/>
  <c r="A92" i="15" s="1"/>
  <c r="F93" i="15"/>
  <c r="A93" i="15" s="1"/>
  <c r="F94" i="15"/>
  <c r="A94" i="15" s="1"/>
  <c r="F95" i="15"/>
  <c r="A95" i="15" s="1"/>
  <c r="F96" i="15"/>
  <c r="A96" i="15" s="1"/>
  <c r="F97" i="15"/>
  <c r="A97" i="15" s="1"/>
  <c r="F98" i="15"/>
  <c r="A98" i="15" s="1"/>
  <c r="F3" i="23"/>
  <c r="F4" i="23"/>
  <c r="F5" i="23"/>
  <c r="A5" i="23" s="1"/>
  <c r="F6" i="23"/>
  <c r="A6" i="23" s="1"/>
  <c r="F7" i="23"/>
  <c r="A7" i="23" s="1"/>
  <c r="F8" i="23"/>
  <c r="A8" i="23" s="1"/>
  <c r="F9" i="23"/>
  <c r="F10" i="23"/>
  <c r="A10" i="23" s="1"/>
  <c r="F11" i="23"/>
  <c r="F12" i="23"/>
  <c r="F13" i="23"/>
  <c r="F14" i="23"/>
  <c r="F15" i="23"/>
  <c r="F16" i="23"/>
  <c r="F17" i="23"/>
  <c r="A17" i="23" s="1"/>
  <c r="F18" i="23"/>
  <c r="A18" i="23" s="1"/>
  <c r="F19" i="23"/>
  <c r="A19" i="23" s="1"/>
  <c r="F20" i="23"/>
  <c r="A20" i="23" s="1"/>
  <c r="F21" i="23"/>
  <c r="F22" i="23"/>
  <c r="A22" i="23" s="1"/>
  <c r="F23" i="23"/>
  <c r="F24" i="23"/>
  <c r="F25" i="23"/>
  <c r="F26" i="23"/>
  <c r="F27" i="23"/>
  <c r="F28" i="23"/>
  <c r="F29" i="23"/>
  <c r="A29" i="23" s="1"/>
  <c r="F30" i="23"/>
  <c r="A30" i="23" s="1"/>
  <c r="F31" i="23"/>
  <c r="A31" i="23" s="1"/>
  <c r="F32" i="23"/>
  <c r="A32" i="23" s="1"/>
  <c r="F33" i="23"/>
  <c r="F34" i="23"/>
  <c r="A34" i="23" s="1"/>
  <c r="F35" i="23"/>
  <c r="F36" i="23"/>
  <c r="F37" i="23"/>
  <c r="F38" i="23"/>
  <c r="F39" i="23"/>
  <c r="F40" i="23"/>
  <c r="F41" i="23"/>
  <c r="A41" i="23" s="1"/>
  <c r="F42" i="23"/>
  <c r="A42" i="23" s="1"/>
  <c r="F43" i="23"/>
  <c r="A43" i="23" s="1"/>
  <c r="F44" i="23"/>
  <c r="A44" i="23" s="1"/>
  <c r="F45" i="23"/>
  <c r="F46" i="23"/>
  <c r="A46" i="23" s="1"/>
  <c r="F47" i="23"/>
  <c r="F48" i="23"/>
  <c r="F49" i="23"/>
  <c r="F50" i="23"/>
  <c r="F51" i="23"/>
  <c r="F52" i="23"/>
  <c r="F53" i="23"/>
  <c r="A53" i="23" s="1"/>
  <c r="F54" i="23"/>
  <c r="A54" i="23" s="1"/>
  <c r="F55" i="23"/>
  <c r="A55" i="23" s="1"/>
  <c r="F56" i="23"/>
  <c r="A56" i="23" s="1"/>
  <c r="F57" i="23"/>
  <c r="F58" i="23"/>
  <c r="A58" i="23" s="1"/>
  <c r="F59" i="23"/>
  <c r="F60" i="23"/>
  <c r="F61" i="23"/>
  <c r="F62" i="23"/>
  <c r="F63" i="23"/>
  <c r="F64" i="23"/>
  <c r="F65" i="23"/>
  <c r="A65" i="23" s="1"/>
  <c r="F66" i="23"/>
  <c r="A66" i="23" s="1"/>
  <c r="F67" i="23"/>
  <c r="A67" i="23" s="1"/>
  <c r="F68" i="23"/>
  <c r="A68" i="23" s="1"/>
  <c r="F69" i="23"/>
  <c r="F70" i="23"/>
  <c r="A70" i="23" s="1"/>
  <c r="F71" i="23"/>
  <c r="F72" i="23"/>
  <c r="F73" i="23"/>
  <c r="F74" i="23"/>
  <c r="F75" i="23"/>
  <c r="F76" i="23"/>
  <c r="F77" i="23"/>
  <c r="A77" i="23" s="1"/>
  <c r="F78" i="23"/>
  <c r="A78" i="23" s="1"/>
  <c r="F79" i="23"/>
  <c r="A79" i="23" s="1"/>
  <c r="F80" i="23"/>
  <c r="A80" i="23" s="1"/>
  <c r="F81" i="23"/>
  <c r="F82" i="23"/>
  <c r="A82" i="23" s="1"/>
  <c r="F83" i="23"/>
  <c r="F84" i="23"/>
  <c r="F85" i="23"/>
  <c r="F86" i="23"/>
  <c r="F87" i="23"/>
  <c r="F88" i="23"/>
  <c r="F89" i="23"/>
  <c r="A89" i="23" s="1"/>
  <c r="F90" i="23"/>
  <c r="A90" i="23" s="1"/>
  <c r="F91" i="23"/>
  <c r="A91" i="23" s="1"/>
  <c r="F92" i="23"/>
  <c r="A92" i="23" s="1"/>
  <c r="F93" i="23"/>
  <c r="F94" i="23"/>
  <c r="F95" i="23"/>
  <c r="A95" i="23" s="1"/>
  <c r="F2" i="23"/>
  <c r="G97" i="22"/>
  <c r="G96" i="22"/>
  <c r="G95" i="22"/>
  <c r="G94" i="22"/>
  <c r="U93" i="22"/>
  <c r="I93" i="22"/>
  <c r="G93" i="22"/>
  <c r="U92" i="22"/>
  <c r="I92" i="22"/>
  <c r="G92" i="22"/>
  <c r="U91" i="22"/>
  <c r="I91" i="22"/>
  <c r="G91" i="22"/>
  <c r="U90" i="22"/>
  <c r="I90" i="22"/>
  <c r="G90" i="22"/>
  <c r="U89" i="22"/>
  <c r="I89" i="22"/>
  <c r="G89" i="22"/>
  <c r="U88" i="22"/>
  <c r="I88" i="22"/>
  <c r="G88" i="22"/>
  <c r="U87" i="22"/>
  <c r="I87" i="22"/>
  <c r="G87" i="22"/>
  <c r="U86" i="22"/>
  <c r="I86" i="22"/>
  <c r="G86" i="22"/>
  <c r="U85" i="22"/>
  <c r="I85" i="22"/>
  <c r="G85" i="22"/>
  <c r="U84" i="22"/>
  <c r="I84" i="22"/>
  <c r="G84" i="22"/>
  <c r="U83" i="22"/>
  <c r="I83" i="22"/>
  <c r="G83" i="22"/>
  <c r="U82" i="22"/>
  <c r="I82" i="22"/>
  <c r="G82" i="22"/>
  <c r="U81" i="22"/>
  <c r="I81" i="22"/>
  <c r="G81" i="22"/>
  <c r="U80" i="22"/>
  <c r="I80" i="22"/>
  <c r="G80" i="22"/>
  <c r="U79" i="22"/>
  <c r="I79" i="22"/>
  <c r="G79" i="22"/>
  <c r="U78" i="22"/>
  <c r="I78" i="22"/>
  <c r="G78" i="22"/>
  <c r="U77" i="22"/>
  <c r="I77" i="22"/>
  <c r="G77" i="22"/>
  <c r="U76" i="22"/>
  <c r="I76" i="22"/>
  <c r="G76" i="22"/>
  <c r="U75" i="22"/>
  <c r="I75" i="22"/>
  <c r="G75" i="22"/>
  <c r="U74" i="22"/>
  <c r="I74" i="22"/>
  <c r="G74" i="22"/>
  <c r="U73" i="22"/>
  <c r="I73" i="22"/>
  <c r="G73" i="22"/>
  <c r="U72" i="22"/>
  <c r="I72" i="22"/>
  <c r="G72" i="22"/>
  <c r="U71" i="22"/>
  <c r="I71" i="22"/>
  <c r="G71" i="22"/>
  <c r="U70" i="22"/>
  <c r="I70" i="22"/>
  <c r="G70" i="22"/>
  <c r="U69" i="22"/>
  <c r="I69" i="22"/>
  <c r="G69" i="22"/>
  <c r="U68" i="22"/>
  <c r="I68" i="22"/>
  <c r="G68" i="22"/>
  <c r="U67" i="22"/>
  <c r="I67" i="22"/>
  <c r="G67" i="22"/>
  <c r="U66" i="22"/>
  <c r="I66" i="22"/>
  <c r="G66" i="22"/>
  <c r="U65" i="22"/>
  <c r="I65" i="22"/>
  <c r="G65" i="22"/>
  <c r="U64" i="22"/>
  <c r="I64" i="22"/>
  <c r="G64" i="22"/>
  <c r="U63" i="22"/>
  <c r="I63" i="22"/>
  <c r="G63" i="22"/>
  <c r="U62" i="22"/>
  <c r="I62" i="22"/>
  <c r="G62" i="22"/>
  <c r="U61" i="22"/>
  <c r="I61" i="22"/>
  <c r="G61" i="22"/>
  <c r="U60" i="22"/>
  <c r="I60" i="22"/>
  <c r="G60" i="22"/>
  <c r="U59" i="22"/>
  <c r="I59" i="22"/>
  <c r="G59" i="22"/>
  <c r="U58" i="22"/>
  <c r="I58" i="22"/>
  <c r="G58" i="22"/>
  <c r="U57" i="22"/>
  <c r="I57" i="22"/>
  <c r="G57" i="22"/>
  <c r="U56" i="22"/>
  <c r="I56" i="22"/>
  <c r="G56" i="22"/>
  <c r="U55" i="22"/>
  <c r="I55" i="22"/>
  <c r="G55" i="22"/>
  <c r="U54" i="22"/>
  <c r="I54" i="22"/>
  <c r="G54" i="22"/>
  <c r="U53" i="22"/>
  <c r="I53" i="22"/>
  <c r="G53" i="22"/>
  <c r="U52" i="22"/>
  <c r="I52" i="22"/>
  <c r="G52" i="22"/>
  <c r="U51" i="22"/>
  <c r="I51" i="22"/>
  <c r="G51" i="22"/>
  <c r="U50" i="22"/>
  <c r="I50" i="22"/>
  <c r="G50" i="22"/>
  <c r="U49" i="22"/>
  <c r="I49" i="22"/>
  <c r="G49" i="22"/>
  <c r="U48" i="22"/>
  <c r="I48" i="22"/>
  <c r="G48" i="22"/>
  <c r="U47" i="22"/>
  <c r="I47" i="22"/>
  <c r="G47" i="22"/>
  <c r="U46" i="22"/>
  <c r="I46" i="22"/>
  <c r="G46" i="22"/>
  <c r="U45" i="22"/>
  <c r="I45" i="22"/>
  <c r="G45" i="22"/>
  <c r="U44" i="22"/>
  <c r="I44" i="22"/>
  <c r="G44" i="22"/>
  <c r="U43" i="22"/>
  <c r="I43" i="22"/>
  <c r="G43" i="22"/>
  <c r="U42" i="22"/>
  <c r="I42" i="22"/>
  <c r="G42" i="22"/>
  <c r="U41" i="22"/>
  <c r="I41" i="22"/>
  <c r="G41" i="22"/>
  <c r="U40" i="22"/>
  <c r="I40" i="22"/>
  <c r="G40" i="22"/>
  <c r="U39" i="22"/>
  <c r="I39" i="22"/>
  <c r="G39" i="22"/>
  <c r="U38" i="22"/>
  <c r="I38" i="22"/>
  <c r="G38" i="22"/>
  <c r="U37" i="22"/>
  <c r="I37" i="22"/>
  <c r="G37" i="22"/>
  <c r="U36" i="22"/>
  <c r="I36" i="22"/>
  <c r="G36" i="22"/>
  <c r="U35" i="22"/>
  <c r="I35" i="22"/>
  <c r="G35" i="22"/>
  <c r="U34" i="22"/>
  <c r="I34" i="22"/>
  <c r="G34" i="22"/>
  <c r="U33" i="22"/>
  <c r="I33" i="22"/>
  <c r="G33" i="22"/>
  <c r="U32" i="22"/>
  <c r="I32" i="22"/>
  <c r="G32" i="22"/>
  <c r="U31" i="22"/>
  <c r="I31" i="22"/>
  <c r="G31" i="22"/>
  <c r="U30" i="22"/>
  <c r="I30" i="22"/>
  <c r="G30" i="22"/>
  <c r="U29" i="22"/>
  <c r="I29" i="22"/>
  <c r="G29" i="22"/>
  <c r="U28" i="22"/>
  <c r="I28" i="22"/>
  <c r="G28" i="22"/>
  <c r="U27" i="22"/>
  <c r="I27" i="22"/>
  <c r="G27" i="22"/>
  <c r="U26" i="22"/>
  <c r="I26" i="22"/>
  <c r="G26" i="22"/>
  <c r="U25" i="22"/>
  <c r="I25" i="22"/>
  <c r="G25" i="22"/>
  <c r="U24" i="22"/>
  <c r="I24" i="22"/>
  <c r="G24" i="22"/>
  <c r="U23" i="22"/>
  <c r="I23" i="22"/>
  <c r="G23" i="22"/>
  <c r="U22" i="22"/>
  <c r="I22" i="22"/>
  <c r="G22" i="22"/>
  <c r="U21" i="22"/>
  <c r="I21" i="22"/>
  <c r="G21" i="22"/>
  <c r="U20" i="22"/>
  <c r="I20" i="22"/>
  <c r="G20" i="22"/>
  <c r="U19" i="22"/>
  <c r="I19" i="22"/>
  <c r="G19" i="22"/>
  <c r="U18" i="22"/>
  <c r="I18" i="22"/>
  <c r="G18" i="22"/>
  <c r="U17" i="22"/>
  <c r="I17" i="22"/>
  <c r="G17" i="22"/>
  <c r="U16" i="22"/>
  <c r="I16" i="22"/>
  <c r="G16" i="22"/>
  <c r="U15" i="22"/>
  <c r="I15" i="22"/>
  <c r="G15" i="22"/>
  <c r="U14" i="22"/>
  <c r="A22" i="22" s="1"/>
  <c r="I14" i="22"/>
  <c r="G14" i="22"/>
  <c r="U13" i="22"/>
  <c r="I13" i="22"/>
  <c r="G13" i="22"/>
  <c r="U12" i="22"/>
  <c r="A46" i="22" s="1"/>
  <c r="I12" i="22"/>
  <c r="C24" i="22" s="1"/>
  <c r="G12" i="22"/>
  <c r="U11" i="22"/>
  <c r="I11" i="22"/>
  <c r="G11" i="22"/>
  <c r="U10" i="22"/>
  <c r="I10" i="22"/>
  <c r="C11" i="22" s="1"/>
  <c r="G10" i="22"/>
  <c r="U9" i="22"/>
  <c r="I9" i="22"/>
  <c r="G9" i="22"/>
  <c r="U8" i="22"/>
  <c r="I8" i="22"/>
  <c r="G8" i="22"/>
  <c r="C8" i="22"/>
  <c r="U7" i="22"/>
  <c r="I7" i="22"/>
  <c r="G7" i="22"/>
  <c r="U6" i="22"/>
  <c r="A7" i="22" s="1"/>
  <c r="I6" i="22"/>
  <c r="G6" i="22"/>
  <c r="C6" i="22"/>
  <c r="B6" i="22"/>
  <c r="U5" i="22"/>
  <c r="I5" i="22"/>
  <c r="G5" i="22"/>
  <c r="U4" i="22"/>
  <c r="B10" i="22" s="1"/>
  <c r="I4" i="22"/>
  <c r="C84" i="22" s="1"/>
  <c r="G4" i="22"/>
  <c r="B4" i="22"/>
  <c r="A4" i="22"/>
  <c r="U3" i="22"/>
  <c r="I3" i="22"/>
  <c r="G3" i="22"/>
  <c r="U2" i="22"/>
  <c r="B84" i="22" s="1"/>
  <c r="I2" i="22"/>
  <c r="C90" i="22" s="1"/>
  <c r="G2" i="22"/>
  <c r="B2" i="22"/>
  <c r="A2" i="22"/>
  <c r="V3" i="21"/>
  <c r="V4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2" i="21"/>
  <c r="H85" i="21"/>
  <c r="H86" i="21"/>
  <c r="A86" i="21" s="1"/>
  <c r="H87" i="21"/>
  <c r="H88" i="21"/>
  <c r="H89" i="21"/>
  <c r="H90" i="21"/>
  <c r="A90" i="21" s="1"/>
  <c r="H91" i="21"/>
  <c r="H92" i="21"/>
  <c r="H93" i="21"/>
  <c r="H94" i="21"/>
  <c r="H95" i="21"/>
  <c r="H96" i="21"/>
  <c r="H97" i="21"/>
  <c r="H34" i="21"/>
  <c r="A34" i="21" s="1"/>
  <c r="H35" i="21"/>
  <c r="H36" i="21"/>
  <c r="H37" i="21"/>
  <c r="H38" i="21"/>
  <c r="A38" i="21" s="1"/>
  <c r="H39" i="21"/>
  <c r="A39" i="21" s="1"/>
  <c r="H40" i="21"/>
  <c r="H41" i="21"/>
  <c r="H42" i="21"/>
  <c r="H43" i="21"/>
  <c r="A43" i="21" s="1"/>
  <c r="H44" i="21"/>
  <c r="A44" i="21" s="1"/>
  <c r="H45" i="21"/>
  <c r="A45" i="21" s="1"/>
  <c r="H46" i="21"/>
  <c r="A46" i="21" s="1"/>
  <c r="H47" i="21"/>
  <c r="H48" i="21"/>
  <c r="H49" i="21"/>
  <c r="H50" i="21"/>
  <c r="A50" i="21" s="1"/>
  <c r="H51" i="21"/>
  <c r="A51" i="21" s="1"/>
  <c r="H52" i="21"/>
  <c r="H53" i="21"/>
  <c r="H54" i="21"/>
  <c r="H55" i="21"/>
  <c r="A55" i="21" s="1"/>
  <c r="H56" i="21"/>
  <c r="A56" i="21" s="1"/>
  <c r="H57" i="21"/>
  <c r="A57" i="21" s="1"/>
  <c r="H58" i="21"/>
  <c r="A58" i="21" s="1"/>
  <c r="H59" i="21"/>
  <c r="H60" i="21"/>
  <c r="H61" i="21"/>
  <c r="H62" i="21"/>
  <c r="A62" i="21" s="1"/>
  <c r="H63" i="21"/>
  <c r="A63" i="21" s="1"/>
  <c r="H64" i="21"/>
  <c r="H65" i="21"/>
  <c r="H66" i="21"/>
  <c r="H67" i="21"/>
  <c r="A67" i="21" s="1"/>
  <c r="H68" i="21"/>
  <c r="A68" i="21" s="1"/>
  <c r="H69" i="21"/>
  <c r="A69" i="21" s="1"/>
  <c r="H70" i="21"/>
  <c r="A70" i="21" s="1"/>
  <c r="H71" i="21"/>
  <c r="H72" i="21"/>
  <c r="H73" i="21"/>
  <c r="H74" i="21"/>
  <c r="A74" i="21" s="1"/>
  <c r="H75" i="21"/>
  <c r="A75" i="21" s="1"/>
  <c r="H76" i="21"/>
  <c r="H77" i="21"/>
  <c r="H78" i="21"/>
  <c r="H79" i="21"/>
  <c r="A79" i="21" s="1"/>
  <c r="H80" i="21"/>
  <c r="A80" i="21" s="1"/>
  <c r="H81" i="21"/>
  <c r="A81" i="21" s="1"/>
  <c r="H82" i="21"/>
  <c r="A82" i="21" s="1"/>
  <c r="H83" i="21"/>
  <c r="H84" i="21"/>
  <c r="H3" i="21"/>
  <c r="H4" i="21"/>
  <c r="A4" i="21" s="1"/>
  <c r="H5" i="21"/>
  <c r="H6" i="21"/>
  <c r="H7" i="21"/>
  <c r="H8" i="21"/>
  <c r="A8" i="21" s="1"/>
  <c r="H9" i="21"/>
  <c r="A9" i="21" s="1"/>
  <c r="H10" i="21"/>
  <c r="A10" i="21" s="1"/>
  <c r="H11" i="21"/>
  <c r="A11" i="21" s="1"/>
  <c r="H12" i="21"/>
  <c r="A12" i="21" s="1"/>
  <c r="H13" i="21"/>
  <c r="H14" i="21"/>
  <c r="A14" i="21" s="1"/>
  <c r="H15" i="21"/>
  <c r="A15" i="21" s="1"/>
  <c r="H16" i="21"/>
  <c r="A16" i="21" s="1"/>
  <c r="H17" i="21"/>
  <c r="H18" i="21"/>
  <c r="H19" i="21"/>
  <c r="A19" i="21" s="1"/>
  <c r="H20" i="21"/>
  <c r="A20" i="21" s="1"/>
  <c r="H21" i="21"/>
  <c r="A21" i="21" s="1"/>
  <c r="H22" i="21"/>
  <c r="A22" i="21" s="1"/>
  <c r="H23" i="21"/>
  <c r="A23" i="21" s="1"/>
  <c r="H24" i="21"/>
  <c r="H25" i="21"/>
  <c r="H26" i="21"/>
  <c r="A26" i="21" s="1"/>
  <c r="H27" i="21"/>
  <c r="H28" i="21"/>
  <c r="A28" i="21" s="1"/>
  <c r="H29" i="21"/>
  <c r="H30" i="21"/>
  <c r="H31" i="21"/>
  <c r="H32" i="21"/>
  <c r="H33" i="21"/>
  <c r="H2" i="21"/>
  <c r="A2" i="21" s="1"/>
  <c r="A13" i="21" l="1"/>
  <c r="A77" i="21"/>
  <c r="A41" i="21"/>
  <c r="A76" i="21"/>
  <c r="A52" i="21"/>
  <c r="A87" i="21"/>
  <c r="A27" i="21"/>
  <c r="A3" i="21"/>
  <c r="A73" i="21"/>
  <c r="A89" i="21"/>
  <c r="A65" i="21"/>
  <c r="A53" i="21"/>
  <c r="A29" i="21"/>
  <c r="A17" i="21"/>
  <c r="A88" i="21"/>
  <c r="A64" i="21"/>
  <c r="A40" i="21"/>
  <c r="A85" i="21"/>
  <c r="A60" i="21"/>
  <c r="A47" i="21"/>
  <c r="A94" i="21"/>
  <c r="A93" i="21"/>
  <c r="A33" i="21"/>
  <c r="A37" i="21"/>
  <c r="A84" i="21"/>
  <c r="A83" i="21"/>
  <c r="A92" i="21"/>
  <c r="A32" i="21"/>
  <c r="A49" i="21"/>
  <c r="A71" i="21"/>
  <c r="A91" i="21"/>
  <c r="A31" i="21"/>
  <c r="A7" i="21"/>
  <c r="A97" i="21"/>
  <c r="A61" i="21"/>
  <c r="A25" i="21"/>
  <c r="A96" i="21"/>
  <c r="A72" i="21"/>
  <c r="A48" i="21"/>
  <c r="A36" i="21"/>
  <c r="A24" i="21"/>
  <c r="A95" i="21"/>
  <c r="A59" i="21"/>
  <c r="A35" i="21"/>
  <c r="A78" i="21"/>
  <c r="A66" i="21"/>
  <c r="A54" i="21"/>
  <c r="A42" i="21"/>
  <c r="A30" i="21"/>
  <c r="A18" i="21"/>
  <c r="A6" i="21"/>
  <c r="A17" i="22"/>
  <c r="B60" i="22"/>
  <c r="B77" i="22"/>
  <c r="A15" i="22"/>
  <c r="A34" i="22"/>
  <c r="C41" i="22"/>
  <c r="C48" i="22"/>
  <c r="C53" i="22"/>
  <c r="A58" i="22"/>
  <c r="C60" i="22"/>
  <c r="A68" i="22"/>
  <c r="A74" i="22"/>
  <c r="A80" i="22"/>
  <c r="A86" i="22"/>
  <c r="C4" i="22"/>
  <c r="C15" i="22"/>
  <c r="B34" i="22"/>
  <c r="B93" i="22"/>
  <c r="B31" i="22"/>
  <c r="B83" i="22"/>
  <c r="C36" i="22"/>
  <c r="A13" i="22"/>
  <c r="B17" i="22"/>
  <c r="B22" i="22"/>
  <c r="B29" i="22"/>
  <c r="B41" i="22"/>
  <c r="B46" i="22"/>
  <c r="B53" i="22"/>
  <c r="B58" i="22"/>
  <c r="C2" i="22"/>
  <c r="A11" i="22"/>
  <c r="C13" i="22"/>
  <c r="B15" i="22"/>
  <c r="A20" i="22"/>
  <c r="C22" i="22"/>
  <c r="C27" i="22"/>
  <c r="A32" i="22"/>
  <c r="C34" i="22"/>
  <c r="C39" i="22"/>
  <c r="A44" i="22"/>
  <c r="C46" i="22"/>
  <c r="C51" i="22"/>
  <c r="A56" i="22"/>
  <c r="C58" i="22"/>
  <c r="B63" i="22"/>
  <c r="B66" i="22"/>
  <c r="B72" i="22"/>
  <c r="B78" i="22"/>
  <c r="B19" i="22"/>
  <c r="B36" i="22"/>
  <c r="B48" i="22"/>
  <c r="C68" i="22"/>
  <c r="C80" i="22"/>
  <c r="C17" i="22"/>
  <c r="C29" i="22"/>
  <c r="B13" i="22"/>
  <c r="B20" i="22"/>
  <c r="B32" i="22"/>
  <c r="B39" i="22"/>
  <c r="B44" i="22"/>
  <c r="B56" i="22"/>
  <c r="C66" i="22"/>
  <c r="B69" i="22"/>
  <c r="C72" i="22"/>
  <c r="B75" i="22"/>
  <c r="C78" i="22"/>
  <c r="C93" i="22"/>
  <c r="C91" i="22"/>
  <c r="C89" i="22"/>
  <c r="C87" i="22"/>
  <c r="C85" i="22"/>
  <c r="C83" i="22"/>
  <c r="C81" i="22"/>
  <c r="C79" i="22"/>
  <c r="C77" i="22"/>
  <c r="C75" i="22"/>
  <c r="C73" i="22"/>
  <c r="C71" i="22"/>
  <c r="C69" i="22"/>
  <c r="C67" i="22"/>
  <c r="C65" i="22"/>
  <c r="C63" i="22"/>
  <c r="C95" i="22"/>
  <c r="C9" i="22"/>
  <c r="C20" i="22"/>
  <c r="C25" i="22"/>
  <c r="A30" i="22"/>
  <c r="C37" i="22"/>
  <c r="A42" i="22"/>
  <c r="A54" i="22"/>
  <c r="C61" i="22"/>
  <c r="A66" i="22"/>
  <c r="A72" i="22"/>
  <c r="A78" i="22"/>
  <c r="A84" i="22"/>
  <c r="C94" i="22"/>
  <c r="B97" i="22"/>
  <c r="B94" i="22"/>
  <c r="B92" i="22"/>
  <c r="B90" i="22"/>
  <c r="A93" i="22"/>
  <c r="A91" i="22"/>
  <c r="A89" i="22"/>
  <c r="A87" i="22"/>
  <c r="A85" i="22"/>
  <c r="A83" i="22"/>
  <c r="A81" i="22"/>
  <c r="A79" i="22"/>
  <c r="A77" i="22"/>
  <c r="A75" i="22"/>
  <c r="A73" i="22"/>
  <c r="A71" i="22"/>
  <c r="A69" i="22"/>
  <c r="A67" i="22"/>
  <c r="A65" i="22"/>
  <c r="A63" i="22"/>
  <c r="A61" i="22"/>
  <c r="A59" i="22"/>
  <c r="A57" i="22"/>
  <c r="A55" i="22"/>
  <c r="A53" i="22"/>
  <c r="A51" i="22"/>
  <c r="A49" i="22"/>
  <c r="A47" i="22"/>
  <c r="A45" i="22"/>
  <c r="A43" i="22"/>
  <c r="A41" i="22"/>
  <c r="A39" i="22"/>
  <c r="A37" i="22"/>
  <c r="A35" i="22"/>
  <c r="A33" i="22"/>
  <c r="A31" i="22"/>
  <c r="A29" i="22"/>
  <c r="A27" i="22"/>
  <c r="A25" i="22"/>
  <c r="A23" i="22"/>
  <c r="A21" i="22"/>
  <c r="A19" i="22"/>
  <c r="B95" i="22"/>
  <c r="A5" i="22"/>
  <c r="C7" i="22"/>
  <c r="B9" i="22"/>
  <c r="A16" i="22"/>
  <c r="B18" i="22"/>
  <c r="B25" i="22"/>
  <c r="B30" i="22"/>
  <c r="B37" i="22"/>
  <c r="B42" i="22"/>
  <c r="B49" i="22"/>
  <c r="B54" i="22"/>
  <c r="B61" i="22"/>
  <c r="A64" i="22"/>
  <c r="A94" i="22"/>
  <c r="A3" i="22"/>
  <c r="C5" i="22"/>
  <c r="B7" i="22"/>
  <c r="A14" i="22"/>
  <c r="B16" i="22"/>
  <c r="C18" i="22"/>
  <c r="C23" i="22"/>
  <c r="A28" i="22"/>
  <c r="C30" i="22"/>
  <c r="C35" i="22"/>
  <c r="A40" i="22"/>
  <c r="C42" i="22"/>
  <c r="C47" i="22"/>
  <c r="A52" i="22"/>
  <c r="C54" i="22"/>
  <c r="C59" i="22"/>
  <c r="B64" i="22"/>
  <c r="B70" i="22"/>
  <c r="B76" i="22"/>
  <c r="B82" i="22"/>
  <c r="B88" i="22"/>
  <c r="B91" i="22"/>
  <c r="A95" i="22"/>
  <c r="B65" i="22"/>
  <c r="B27" i="22"/>
  <c r="B51" i="22"/>
  <c r="B87" i="22"/>
  <c r="A18" i="22"/>
  <c r="C32" i="22"/>
  <c r="C49" i="22"/>
  <c r="C3" i="22"/>
  <c r="A12" i="22"/>
  <c r="C16" i="22"/>
  <c r="B47" i="22"/>
  <c r="B52" i="22"/>
  <c r="B67" i="22"/>
  <c r="C70" i="22"/>
  <c r="B73" i="22"/>
  <c r="C76" i="22"/>
  <c r="C82" i="22"/>
  <c r="B85" i="22"/>
  <c r="C88" i="22"/>
  <c r="B55" i="22"/>
  <c r="C74" i="22"/>
  <c r="C86" i="22"/>
  <c r="A9" i="22"/>
  <c r="B81" i="22"/>
  <c r="B11" i="22"/>
  <c r="C56" i="22"/>
  <c r="B5" i="22"/>
  <c r="B14" i="22"/>
  <c r="B23" i="22"/>
  <c r="B28" i="22"/>
  <c r="B35" i="22"/>
  <c r="B40" i="22"/>
  <c r="B59" i="22"/>
  <c r="C64" i="22"/>
  <c r="B79" i="22"/>
  <c r="B3" i="22"/>
  <c r="A10" i="22"/>
  <c r="B12" i="22"/>
  <c r="C14" i="22"/>
  <c r="C21" i="22"/>
  <c r="A26" i="22"/>
  <c r="C28" i="22"/>
  <c r="C33" i="22"/>
  <c r="A38" i="22"/>
  <c r="C40" i="22"/>
  <c r="C45" i="22"/>
  <c r="A50" i="22"/>
  <c r="C52" i="22"/>
  <c r="C57" i="22"/>
  <c r="A62" i="22"/>
  <c r="A70" i="22"/>
  <c r="A76" i="22"/>
  <c r="A82" i="22"/>
  <c r="A88" i="22"/>
  <c r="C96" i="22"/>
  <c r="B96" i="22"/>
  <c r="A96" i="22"/>
  <c r="A90" i="22"/>
  <c r="B24" i="22"/>
  <c r="B43" i="22"/>
  <c r="B71" i="22"/>
  <c r="B89" i="22"/>
  <c r="C44" i="22"/>
  <c r="A8" i="22"/>
  <c r="C12" i="22"/>
  <c r="B21" i="22"/>
  <c r="B26" i="22"/>
  <c r="B33" i="22"/>
  <c r="B38" i="22"/>
  <c r="B45" i="22"/>
  <c r="B50" i="22"/>
  <c r="B57" i="22"/>
  <c r="B62" i="22"/>
  <c r="C92" i="22"/>
  <c r="C97" i="22"/>
  <c r="A6" i="22"/>
  <c r="B8" i="22"/>
  <c r="C10" i="22"/>
  <c r="C19" i="22"/>
  <c r="A24" i="22"/>
  <c r="C26" i="22"/>
  <c r="C31" i="22"/>
  <c r="A36" i="22"/>
  <c r="C38" i="22"/>
  <c r="C43" i="22"/>
  <c r="A48" i="22"/>
  <c r="C50" i="22"/>
  <c r="C55" i="22"/>
  <c r="A60" i="22"/>
  <c r="C62" i="22"/>
  <c r="B68" i="22"/>
  <c r="B74" i="22"/>
  <c r="B80" i="22"/>
  <c r="B86" i="22"/>
  <c r="A92" i="22"/>
  <c r="A97" i="22"/>
  <c r="F212" i="2" l="1"/>
  <c r="F217" i="2"/>
  <c r="F204" i="2"/>
  <c r="F182" i="2"/>
  <c r="F169" i="2"/>
  <c r="F163" i="2"/>
  <c r="F158" i="2"/>
  <c r="F118" i="2"/>
  <c r="F97" i="2"/>
  <c r="F63" i="2"/>
  <c r="F60" i="2"/>
  <c r="F55" i="2"/>
  <c r="F54" i="2"/>
  <c r="F33" i="2"/>
  <c r="F15" i="2"/>
  <c r="F5" i="2"/>
  <c r="F6" i="2"/>
  <c r="F7" i="2"/>
  <c r="F8" i="2"/>
  <c r="F9" i="2"/>
  <c r="F10" i="2"/>
  <c r="F11" i="2"/>
  <c r="F12" i="2"/>
  <c r="F13" i="2"/>
  <c r="F14" i="2"/>
  <c r="F16" i="2"/>
  <c r="F17" i="2"/>
  <c r="F18" i="2"/>
  <c r="F19" i="2"/>
  <c r="F21" i="2"/>
  <c r="F22" i="2"/>
  <c r="F23" i="2"/>
  <c r="F24" i="2"/>
  <c r="F25" i="2"/>
  <c r="F26" i="2"/>
  <c r="F27" i="2"/>
  <c r="F28" i="2"/>
  <c r="F29" i="2"/>
  <c r="F30" i="2"/>
  <c r="F31" i="2"/>
  <c r="F32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6" i="2"/>
  <c r="F57" i="2"/>
  <c r="F58" i="2"/>
  <c r="F59" i="2"/>
  <c r="F61" i="2"/>
  <c r="F62" i="2"/>
  <c r="F64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9" i="2"/>
  <c r="F160" i="2"/>
  <c r="F161" i="2"/>
  <c r="F162" i="2"/>
  <c r="F164" i="2"/>
  <c r="F165" i="2"/>
  <c r="F166" i="2"/>
  <c r="F167" i="2"/>
  <c r="F168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5" i="2"/>
  <c r="F206" i="2"/>
  <c r="F207" i="2"/>
  <c r="F208" i="2"/>
  <c r="F209" i="2"/>
  <c r="F210" i="2"/>
  <c r="F211" i="2"/>
  <c r="F213" i="2"/>
  <c r="F214" i="2"/>
  <c r="F215" i="2"/>
  <c r="F216" i="2"/>
  <c r="F3" i="2"/>
  <c r="I15" i="3"/>
  <c r="G15" i="3"/>
  <c r="H15" i="3" s="1"/>
  <c r="G2" i="3"/>
  <c r="H2" i="3" s="1"/>
  <c r="E17" i="1"/>
  <c r="E6" i="1"/>
  <c r="C3" i="3"/>
  <c r="C2" i="3"/>
  <c r="E7" i="1"/>
  <c r="E8" i="1"/>
  <c r="E9" i="1"/>
  <c r="E10" i="1"/>
  <c r="E11" i="1"/>
  <c r="E12" i="1"/>
  <c r="E13" i="1"/>
  <c r="E14" i="1"/>
  <c r="E15" i="1"/>
  <c r="E16" i="1"/>
  <c r="E18" i="1"/>
  <c r="E19" i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6" i="3"/>
  <c r="H16" i="3" s="1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C4" i="3"/>
  <c r="C5" i="3"/>
  <c r="C6" i="3"/>
  <c r="C7" i="3"/>
  <c r="C8" i="3"/>
  <c r="C9" i="3"/>
  <c r="C10" i="3"/>
  <c r="C11" i="3"/>
  <c r="C12" i="3"/>
  <c r="D12" i="3" s="1"/>
  <c r="C13" i="3"/>
  <c r="D13" i="3" s="1"/>
  <c r="C14" i="3"/>
  <c r="D14" i="3" s="1"/>
  <c r="C15" i="3"/>
  <c r="C16" i="3"/>
  <c r="D16" i="3" s="1"/>
  <c r="E2" i="3"/>
  <c r="F2" i="3" s="1"/>
  <c r="H23" i="2"/>
  <c r="H22" i="2"/>
  <c r="D20" i="1"/>
  <c r="C20" i="1"/>
  <c r="D3" i="3" l="1"/>
  <c r="D15" i="3"/>
  <c r="D5" i="3"/>
  <c r="D6" i="3"/>
  <c r="D2" i="3"/>
  <c r="D9" i="3"/>
  <c r="D8" i="3"/>
  <c r="D7" i="3"/>
  <c r="D4" i="3"/>
  <c r="D10" i="3"/>
  <c r="D11" i="3"/>
</calcChain>
</file>

<file path=xl/sharedStrings.xml><?xml version="1.0" encoding="utf-8"?>
<sst xmlns="http://schemas.openxmlformats.org/spreadsheetml/2006/main" count="14537" uniqueCount="1147">
  <si>
    <t>VISTEC1</t>
  </si>
  <si>
    <t>VISTEC2</t>
  </si>
  <si>
    <t>KVIS</t>
  </si>
  <si>
    <t>Thaioil1</t>
  </si>
  <si>
    <t>Thaioil2</t>
  </si>
  <si>
    <t>PTTOR MINBURI</t>
  </si>
  <si>
    <t>PTTOR TALINCHAN</t>
  </si>
  <si>
    <t>AICA</t>
  </si>
  <si>
    <t>SURETEX</t>
  </si>
  <si>
    <t>SUT</t>
  </si>
  <si>
    <t>PTIC</t>
  </si>
  <si>
    <t>RASC</t>
  </si>
  <si>
    <t>INI</t>
  </si>
  <si>
    <t>ENTER</t>
  </si>
  <si>
    <t>FUTUREFLEX</t>
  </si>
  <si>
    <t>A</t>
  </si>
  <si>
    <t>X</t>
  </si>
  <si>
    <t>Edge Computing</t>
  </si>
  <si>
    <t>Remark</t>
  </si>
  <si>
    <t>Inverter</t>
  </si>
  <si>
    <t>ABB</t>
  </si>
  <si>
    <t>Huawei</t>
  </si>
  <si>
    <t>Smart Logger</t>
  </si>
  <si>
    <t>Grid Meter</t>
  </si>
  <si>
    <t>-</t>
  </si>
  <si>
    <t>Add Smart Logger แยกของเราออกมา</t>
  </si>
  <si>
    <t>Solar Edge</t>
  </si>
  <si>
    <t>M1</t>
  </si>
  <si>
    <t>M2</t>
  </si>
  <si>
    <t>N</t>
  </si>
  <si>
    <t>U</t>
  </si>
  <si>
    <t>CP1</t>
  </si>
  <si>
    <t>CP2</t>
  </si>
  <si>
    <t>VT1</t>
  </si>
  <si>
    <t>Vistec1</t>
  </si>
  <si>
    <t>kWp</t>
  </si>
  <si>
    <t>IP</t>
  </si>
  <si>
    <t>Port</t>
  </si>
  <si>
    <t>Vistec2</t>
  </si>
  <si>
    <t>Building</t>
  </si>
  <si>
    <t>Tag</t>
  </si>
  <si>
    <t>VT2</t>
  </si>
  <si>
    <t>M3</t>
  </si>
  <si>
    <t>M4</t>
  </si>
  <si>
    <t>K</t>
  </si>
  <si>
    <t>FT</t>
  </si>
  <si>
    <t>CP-M3</t>
  </si>
  <si>
    <t>Equipment</t>
  </si>
  <si>
    <t>CP-M3M4</t>
  </si>
  <si>
    <t>No.</t>
  </si>
  <si>
    <t>ใช้ Pyranometer Vistec2</t>
  </si>
  <si>
    <t>Unit</t>
  </si>
  <si>
    <t>Capacity</t>
  </si>
  <si>
    <t>TO1</t>
  </si>
  <si>
    <t>EBC</t>
  </si>
  <si>
    <t>TO2</t>
  </si>
  <si>
    <t>DB1</t>
  </si>
  <si>
    <t>DB4</t>
  </si>
  <si>
    <t>DB2</t>
  </si>
  <si>
    <t>PTTOR MRB</t>
  </si>
  <si>
    <t>PTTMB</t>
  </si>
  <si>
    <t>PTTOR TLC</t>
  </si>
  <si>
    <t>PTTTL</t>
  </si>
  <si>
    <t>Pyranometer</t>
  </si>
  <si>
    <t>Revenue Meter</t>
  </si>
  <si>
    <t>V</t>
  </si>
  <si>
    <t>DB3</t>
  </si>
  <si>
    <t>DC</t>
  </si>
  <si>
    <t>DRY</t>
  </si>
  <si>
    <t>SRT</t>
  </si>
  <si>
    <t>S1</t>
  </si>
  <si>
    <t>S2</t>
  </si>
  <si>
    <t>Suranaree</t>
  </si>
  <si>
    <t>CL1</t>
  </si>
  <si>
    <t>SV</t>
  </si>
  <si>
    <t>SC</t>
  </si>
  <si>
    <t>F10</t>
  </si>
  <si>
    <t>F12</t>
  </si>
  <si>
    <t>CP</t>
  </si>
  <si>
    <t>SV5</t>
  </si>
  <si>
    <t>PTTEP PTIC</t>
  </si>
  <si>
    <t>PTTEP RASC</t>
  </si>
  <si>
    <t>ENT</t>
  </si>
  <si>
    <t>MS1</t>
  </si>
  <si>
    <t>MS2</t>
  </si>
  <si>
    <t>EV</t>
  </si>
  <si>
    <t>UPS Battery</t>
  </si>
  <si>
    <t>PTT INI</t>
  </si>
  <si>
    <t>BP</t>
  </si>
  <si>
    <t>SP</t>
  </si>
  <si>
    <t>UB</t>
  </si>
  <si>
    <t>LC</t>
  </si>
  <si>
    <t>UN</t>
  </si>
  <si>
    <t>FUTURE FLEX</t>
  </si>
  <si>
    <t>FTF</t>
  </si>
  <si>
    <t>Check</t>
  </si>
  <si>
    <t>Total</t>
  </si>
  <si>
    <t>Description</t>
  </si>
  <si>
    <t>GHI UB Building Pyranometer</t>
  </si>
  <si>
    <t>POA UB Building Pyranometer</t>
  </si>
  <si>
    <t>UB Building Revenue Meter</t>
  </si>
  <si>
    <t>Big Pond Pyranometer</t>
  </si>
  <si>
    <t>Learning Center Pump House</t>
  </si>
  <si>
    <t>Learning Center Big Pond</t>
  </si>
  <si>
    <t>Learning Center Ground Mount</t>
  </si>
  <si>
    <t>Learning Center Tracking</t>
  </si>
  <si>
    <t>Unit Substation Revenue Meter</t>
  </si>
  <si>
    <t xml:space="preserve">UB Inverter No.1 </t>
  </si>
  <si>
    <t>UB Inverter No.2</t>
  </si>
  <si>
    <t>Big Pond Inverter No.1</t>
  </si>
  <si>
    <t>Big Pond Inverter No.2</t>
  </si>
  <si>
    <t>Big Pond Inverter No.3</t>
  </si>
  <si>
    <t>Big Pond Inverter No.4</t>
  </si>
  <si>
    <t>Small Pond Inverter No.1</t>
  </si>
  <si>
    <t>Small Pond Inverter No.2</t>
  </si>
  <si>
    <t>Small Pond Inverter No.3</t>
  </si>
  <si>
    <t>Small Pond Inverter No.4</t>
  </si>
  <si>
    <t>Learning Center Pyranometer Ground Mount</t>
  </si>
  <si>
    <t>Learning Center Pyranometer Tracking</t>
  </si>
  <si>
    <t xml:space="preserve">Buiding M1 Inverter </t>
  </si>
  <si>
    <t xml:space="preserve">Buiding M2 Inverter </t>
  </si>
  <si>
    <t xml:space="preserve">Buiding N(Phase1) Inverter </t>
  </si>
  <si>
    <t xml:space="preserve">Buiding U(Phase1) Inverter </t>
  </si>
  <si>
    <t xml:space="preserve">CP1 Buiding V Inverter </t>
  </si>
  <si>
    <t xml:space="preserve">CP2 Buiding X Inverter </t>
  </si>
  <si>
    <t xml:space="preserve">Building M1 Revenue Meter </t>
  </si>
  <si>
    <t xml:space="preserve">Building M2 Revenue Meter  </t>
  </si>
  <si>
    <t xml:space="preserve">Building U(Phase1) Revenue Meter </t>
  </si>
  <si>
    <t xml:space="preserve">Carpark Buiding X Revenue Meter </t>
  </si>
  <si>
    <t xml:space="preserve">Building M3 Inverter No.1 </t>
  </si>
  <si>
    <t>Building K Inverter No.1</t>
  </si>
  <si>
    <t>Building K Inverter No.2</t>
  </si>
  <si>
    <t>Building M4 Inverter No.2</t>
  </si>
  <si>
    <t xml:space="preserve">Building N(Phase2) Inverter </t>
  </si>
  <si>
    <t xml:space="preserve">Building U(Phase2) Inverter </t>
  </si>
  <si>
    <t>Building M3 Inverter No.2</t>
  </si>
  <si>
    <t>Building M4 Inverter No.1</t>
  </si>
  <si>
    <t>Floating Inverter No.1</t>
  </si>
  <si>
    <t>Capark M3 Inverter</t>
  </si>
  <si>
    <t>Capark M3/M4 Inverter</t>
  </si>
  <si>
    <t>Building M4 Pyranometer</t>
  </si>
  <si>
    <t>Building M4 Revenue Meter</t>
  </si>
  <si>
    <t>Buiding N(Phase2) Revenue Meter</t>
  </si>
  <si>
    <t>Buiding U(Phase2) Revenue Meter</t>
  </si>
  <si>
    <t>KVIS Inverter</t>
  </si>
  <si>
    <t>KVIS Revenue Meter</t>
  </si>
  <si>
    <t>Inverter No.1</t>
  </si>
  <si>
    <t>Inverter No.2</t>
  </si>
  <si>
    <t>Inverter No.3</t>
  </si>
  <si>
    <t>Inverter No.4</t>
  </si>
  <si>
    <t>Inverter No.5</t>
  </si>
  <si>
    <t>Inverter No.6</t>
  </si>
  <si>
    <t>Inverter No.7</t>
  </si>
  <si>
    <t>Brand</t>
  </si>
  <si>
    <t>Model</t>
  </si>
  <si>
    <t>Serial</t>
  </si>
  <si>
    <t>Modbus Slave ID</t>
  </si>
  <si>
    <t>Office Building Pyranometer</t>
  </si>
  <si>
    <t>Carpark DB1 Revenue Meter</t>
  </si>
  <si>
    <t>Office DB2 Revenue Meter</t>
  </si>
  <si>
    <t>Carpark DB4 Revenue Meter</t>
  </si>
  <si>
    <t>Carpark DB1 Inverter No.1</t>
  </si>
  <si>
    <t>Carpark DB4 Inverter No.2</t>
  </si>
  <si>
    <t>Office DB2Inverter No.3</t>
  </si>
  <si>
    <t>Office DB2 Inverter No.4</t>
  </si>
  <si>
    <t>Auditrorium DB3 Inverter No.5</t>
  </si>
  <si>
    <t>Auditrorium DB3 Revenue Meter</t>
  </si>
  <si>
    <t>Fuel Station Inverter No.1</t>
  </si>
  <si>
    <t>Market Zone Inverter No.2</t>
  </si>
  <si>
    <t>Fuel Station Revenue Meter No.1</t>
  </si>
  <si>
    <t>Market Zone Revenue Meter No.2</t>
  </si>
  <si>
    <t>DC warehouse Inverter No.1</t>
  </si>
  <si>
    <t>DC warehouse Inverter No.2</t>
  </si>
  <si>
    <t>DC warehouse Inverter No.3</t>
  </si>
  <si>
    <t>DC warehouse Inverter No.4</t>
  </si>
  <si>
    <t>DC warehouse Inverter No.5</t>
  </si>
  <si>
    <t>DC warehouse Inverter No.6</t>
  </si>
  <si>
    <t>DC warehouse Inverter No.7</t>
  </si>
  <si>
    <t>DC warehouse Inverter No.8</t>
  </si>
  <si>
    <t>DC warehouse Inverter No.9</t>
  </si>
  <si>
    <t>DC warehouse Inverter No.10</t>
  </si>
  <si>
    <t>DC warehouse Inverter No.11</t>
  </si>
  <si>
    <t>DC warehouse Inverter No.12</t>
  </si>
  <si>
    <t>DC warehouse Inverter No.13</t>
  </si>
  <si>
    <t>DC warehouse Inverter No.14</t>
  </si>
  <si>
    <t>DC warehouse Inverter No.15</t>
  </si>
  <si>
    <t>DC warehouse Inverter No.16</t>
  </si>
  <si>
    <t>DC warehouse Inverter No.17</t>
  </si>
  <si>
    <t>DC warehouse Inverter No.18</t>
  </si>
  <si>
    <t>DC warehouse Inverter No.19</t>
  </si>
  <si>
    <t>DC warehouse Inverter No.20</t>
  </si>
  <si>
    <t>DC warehouse Inverter No.21</t>
  </si>
  <si>
    <t>DC warehouse Inverter No.22</t>
  </si>
  <si>
    <t>DC warehouse Inverter No.23</t>
  </si>
  <si>
    <t>DC warehouse Inverter No.24</t>
  </si>
  <si>
    <t>DC warehouse Inverter No.25</t>
  </si>
  <si>
    <t>DC warehouse Inverter No.26</t>
  </si>
  <si>
    <t>DC warehouse Inverter No.27</t>
  </si>
  <si>
    <t>DC warehouse Inverter No.28</t>
  </si>
  <si>
    <t>DRYMIX Inverter No.1</t>
  </si>
  <si>
    <t>DRYMIX Inverter No.2</t>
  </si>
  <si>
    <t>DC warehouse Revenue Meter</t>
  </si>
  <si>
    <t>DRYMIX Revenue Meter</t>
  </si>
  <si>
    <t>DRYMIX Pyranometer</t>
  </si>
  <si>
    <t>Inverter Station Inverter No.1</t>
  </si>
  <si>
    <t>Inverter Station Inverter No.2</t>
  </si>
  <si>
    <t>Inverter Station Inverter No.3</t>
  </si>
  <si>
    <t>Inverter Station Inverter No.4</t>
  </si>
  <si>
    <t>Inverter Station Inverter No.5</t>
  </si>
  <si>
    <t>Inverter Station Inverter No.6</t>
  </si>
  <si>
    <t>Inverter Station Inverter No.7</t>
  </si>
  <si>
    <t>Inverter Station Inverter No.8</t>
  </si>
  <si>
    <t>Inverter Station Inverter No.9</t>
  </si>
  <si>
    <t>Inverter Station Inverter No.10</t>
  </si>
  <si>
    <t>Inverter Station Inverter No.11</t>
  </si>
  <si>
    <t>Inverter Station Inverter No.12</t>
  </si>
  <si>
    <t>Inverter Station Inverter No.13</t>
  </si>
  <si>
    <t>Inverter Station Inverter No.14</t>
  </si>
  <si>
    <t>Inverter Station Inverter No.15</t>
  </si>
  <si>
    <t>Inverter Station Revenue Meter</t>
  </si>
  <si>
    <t>Substation4 Revenue Meter</t>
  </si>
  <si>
    <t>Substation4 Inverter No.16</t>
  </si>
  <si>
    <t>Substation4 Inverter No.17</t>
  </si>
  <si>
    <t>Suretex Pyranometer</t>
  </si>
  <si>
    <t>Class Room1 Revenue Meter</t>
  </si>
  <si>
    <t>Suranivet5 Revenue Meter</t>
  </si>
  <si>
    <t>Suranivet5 Inverter</t>
  </si>
  <si>
    <t>Suraueng Chai Revenue Meter</t>
  </si>
  <si>
    <t>Floating Revenue Meter</t>
  </si>
  <si>
    <t>F10 Revenue Meter</t>
  </si>
  <si>
    <t>F12 Revenue Meter</t>
  </si>
  <si>
    <t>Class Room1 Inverter No.1</t>
  </si>
  <si>
    <t>Class Room1 Inverter No.2</t>
  </si>
  <si>
    <t>Class Room1 Inverter No.3</t>
  </si>
  <si>
    <t>Class Room1 Inverter No.4</t>
  </si>
  <si>
    <t>Surareang Chai Inverter No.1</t>
  </si>
  <si>
    <t>Surareang Chai Inverter No.2</t>
  </si>
  <si>
    <t>Surareang Chai Inverter No.3</t>
  </si>
  <si>
    <t>Surareang Chai Inverter No.4</t>
  </si>
  <si>
    <t>Capark Inverter No.1</t>
  </si>
  <si>
    <t>Capark Inverter No.2</t>
  </si>
  <si>
    <t>Floating Inverter No.2</t>
  </si>
  <si>
    <t>Floating Inverter No.3</t>
  </si>
  <si>
    <t>Floating Inverter No.4</t>
  </si>
  <si>
    <t>Floating Inverter No.5</t>
  </si>
  <si>
    <t>Floating Inverter No.6</t>
  </si>
  <si>
    <t>Floating Inverter No.7</t>
  </si>
  <si>
    <t>Floating Inverter No.8</t>
  </si>
  <si>
    <t>Floating Inverter No.9</t>
  </si>
  <si>
    <t>Floating Inverter No.10</t>
  </si>
  <si>
    <t>Floating Inverter No.11</t>
  </si>
  <si>
    <t>Floating Inverter No.12</t>
  </si>
  <si>
    <t>Floating Inverter No.13</t>
  </si>
  <si>
    <t>Floating Inverter No.14</t>
  </si>
  <si>
    <t>Floating Inverter No.15</t>
  </si>
  <si>
    <t>Floating Inverter No.16</t>
  </si>
  <si>
    <t>F12 Inverter No.1</t>
  </si>
  <si>
    <t>F12 Inverter No.2</t>
  </si>
  <si>
    <t>F12 Inverter No.3</t>
  </si>
  <si>
    <t>F10 Inverter No.3</t>
  </si>
  <si>
    <t>Class Room1 Pyranometer</t>
  </si>
  <si>
    <t>Floating Pyranometer</t>
  </si>
  <si>
    <t>Inverter No.8</t>
  </si>
  <si>
    <t>Inverter No.9</t>
  </si>
  <si>
    <t>1st Floor Inverter No.1</t>
  </si>
  <si>
    <t>1st Floor Inverter No.2</t>
  </si>
  <si>
    <t>1st Floor Inverter No.4</t>
  </si>
  <si>
    <t>1st Floor Inverter No.5</t>
  </si>
  <si>
    <t>1st Floor Inverter No.3</t>
  </si>
  <si>
    <t>2nd Floor Inverter No.7</t>
  </si>
  <si>
    <t>2nd Floor Inverter No.6</t>
  </si>
  <si>
    <t>2nd Pyranometer</t>
  </si>
  <si>
    <t>2nd Revenue Meter</t>
  </si>
  <si>
    <t>1st Pyranometer</t>
  </si>
  <si>
    <t>1st Revenue Meter</t>
  </si>
  <si>
    <t>192.168.137.10</t>
  </si>
  <si>
    <t>192.168.137.254</t>
  </si>
  <si>
    <t>V3</t>
  </si>
  <si>
    <t>V3 Buiding Grid Meter</t>
  </si>
  <si>
    <t>V4</t>
  </si>
  <si>
    <t>KVIS Grid Meter</t>
  </si>
  <si>
    <t>Grid Meter Bus1</t>
  </si>
  <si>
    <t>Grid Meter Bus2</t>
  </si>
  <si>
    <t>Sub115 Grid Meter</t>
  </si>
  <si>
    <t>33kV Grid Meter</t>
  </si>
  <si>
    <t>115KV</t>
  </si>
  <si>
    <t>115kV Grid Meter</t>
  </si>
  <si>
    <t>22kV Grid Meter</t>
  </si>
  <si>
    <t>115kV</t>
  </si>
  <si>
    <t>Sub 115kV Grid Meter</t>
  </si>
  <si>
    <t>2nd Grid Meter</t>
  </si>
  <si>
    <t>192.168.127.10</t>
  </si>
  <si>
    <t>192.168.127.42</t>
  </si>
  <si>
    <t>192.168.127.40</t>
  </si>
  <si>
    <t>192.168.127.44</t>
  </si>
  <si>
    <t>192.168.127.46</t>
  </si>
  <si>
    <t>192.168.0.4</t>
  </si>
  <si>
    <t>192.168.0.10</t>
  </si>
  <si>
    <t>192.168.0.20</t>
  </si>
  <si>
    <t>192.168.1.51</t>
  </si>
  <si>
    <t>192.168.1.52</t>
  </si>
  <si>
    <t>192.168.1.3</t>
  </si>
  <si>
    <t>192.168.1.20</t>
  </si>
  <si>
    <t>192.168.1.10</t>
  </si>
  <si>
    <t>192.168.186</t>
  </si>
  <si>
    <t>192.168.1.85</t>
  </si>
  <si>
    <t>192.168.1.60</t>
  </si>
  <si>
    <t>192.168.1.61</t>
  </si>
  <si>
    <t>192.168.0.9</t>
  </si>
  <si>
    <t>1st Grid Meter</t>
  </si>
  <si>
    <t>192.168.0.31</t>
  </si>
  <si>
    <t>192.168.0.30</t>
  </si>
  <si>
    <t>192.168.1.30</t>
  </si>
  <si>
    <t>192.168.1.12</t>
  </si>
  <si>
    <t>10.12.7.171</t>
  </si>
  <si>
    <t>10.12.7.140</t>
  </si>
  <si>
    <t>10.12.7.175</t>
  </si>
  <si>
    <t>10.12.7.174</t>
  </si>
  <si>
    <t>10.12.7.173</t>
  </si>
  <si>
    <t>10.12.7.172</t>
  </si>
  <si>
    <t>10.12.7.176</t>
  </si>
  <si>
    <t>10.12.7.141</t>
  </si>
  <si>
    <t>10.12.7.142</t>
  </si>
  <si>
    <t>192.168.1.46</t>
  </si>
  <si>
    <t>192.168.1.47</t>
  </si>
  <si>
    <t>192.168.1.40</t>
  </si>
  <si>
    <t>192.168.1.41</t>
  </si>
  <si>
    <t>192.168.1.11</t>
  </si>
  <si>
    <t>10.204.30.110</t>
  </si>
  <si>
    <t>10.204.30.107</t>
  </si>
  <si>
    <t>10.204.30.59</t>
  </si>
  <si>
    <t>10.204.30.58</t>
  </si>
  <si>
    <t>10.204.30.51</t>
  </si>
  <si>
    <t>10.204.30.81</t>
  </si>
  <si>
    <t>10.204.30.62</t>
  </si>
  <si>
    <t>10.204.30.68</t>
  </si>
  <si>
    <t>10.204.30.101</t>
  </si>
  <si>
    <t>10.204.30.102</t>
  </si>
  <si>
    <t>10.204.30.103</t>
  </si>
  <si>
    <t>10.204.30.104</t>
  </si>
  <si>
    <t>10.204.30.108</t>
  </si>
  <si>
    <t>10.204.30.105</t>
  </si>
  <si>
    <t>10.204.30.106</t>
  </si>
  <si>
    <t>10.205.30.90</t>
  </si>
  <si>
    <t>10.205.30.50</t>
  </si>
  <si>
    <t>10.205.30.100</t>
  </si>
  <si>
    <t>10.204.30.52</t>
  </si>
  <si>
    <t>10.204.30.50</t>
  </si>
  <si>
    <t>10.204.30.53</t>
  </si>
  <si>
    <t>10.204.30.56</t>
  </si>
  <si>
    <t>10.204.30.63</t>
  </si>
  <si>
    <t>10.204.30.61</t>
  </si>
  <si>
    <t>10.204.30.64</t>
  </si>
  <si>
    <t>10.204.30.66</t>
  </si>
  <si>
    <t>10.204.30.65</t>
  </si>
  <si>
    <t>10.204.30.67</t>
  </si>
  <si>
    <t xml:space="preserve">PVS-100-TL-POWER </t>
  </si>
  <si>
    <t>PVS-50-TL-SX2</t>
  </si>
  <si>
    <t>SUN2000-50KTL-M3</t>
  </si>
  <si>
    <t>10.204.30.54</t>
  </si>
  <si>
    <t>10.204.30.55</t>
  </si>
  <si>
    <t>MK6E</t>
  </si>
  <si>
    <t>EDMI</t>
  </si>
  <si>
    <t>MK6N</t>
  </si>
  <si>
    <t>Building N(Phase1) Revenue Meter</t>
  </si>
  <si>
    <t xml:space="preserve">Carpark Buiding V Revenue Meter  </t>
  </si>
  <si>
    <t>Mitsubishi</t>
  </si>
  <si>
    <t>MX2-C41E</t>
  </si>
  <si>
    <t>Carpark Revenue Meter</t>
  </si>
  <si>
    <t>SUN2000-100KTL-M1</t>
  </si>
  <si>
    <t>SUN2000-40KTL-M3</t>
  </si>
  <si>
    <t>SUN2000-185KTL-H1</t>
  </si>
  <si>
    <t>SUN2000-20KTL-M2</t>
  </si>
  <si>
    <t>SE82.8K-RW0P0BNU4</t>
  </si>
  <si>
    <t>Solaredge</t>
  </si>
  <si>
    <t>SUN2000-60KTL-M</t>
  </si>
  <si>
    <t>SUN2000-60KTL-M0</t>
  </si>
  <si>
    <t>SUN2000-215KTL-H0</t>
  </si>
  <si>
    <t>SUN2000-30KTL-M3</t>
  </si>
  <si>
    <t>Amps</t>
  </si>
  <si>
    <t>float</t>
  </si>
  <si>
    <t>AI</t>
  </si>
  <si>
    <t>USHORT</t>
  </si>
  <si>
    <t>Amps PhaseA</t>
  </si>
  <si>
    <t>Amps PhaseB</t>
  </si>
  <si>
    <t>Amps PhaseC</t>
  </si>
  <si>
    <t>A_SF</t>
  </si>
  <si>
    <t>Phase Voltage AB</t>
  </si>
  <si>
    <t>Phase Voltage BC</t>
  </si>
  <si>
    <t>Phase Voltage CA</t>
  </si>
  <si>
    <t>Phase Voltage AN</t>
  </si>
  <si>
    <t>Phase Voltage BN</t>
  </si>
  <si>
    <t>Phase Voltage CN</t>
  </si>
  <si>
    <t>V_SF</t>
  </si>
  <si>
    <t>Watts</t>
  </si>
  <si>
    <t>SHORT</t>
  </si>
  <si>
    <t>W_SF</t>
  </si>
  <si>
    <t>Hz</t>
  </si>
  <si>
    <t>Hz_SF</t>
  </si>
  <si>
    <t>VA</t>
  </si>
  <si>
    <t>VA_SF</t>
  </si>
  <si>
    <t>Var</t>
  </si>
  <si>
    <t>VAr_SF</t>
  </si>
  <si>
    <t>PF</t>
  </si>
  <si>
    <t>PF_SF</t>
  </si>
  <si>
    <t>WattHours</t>
  </si>
  <si>
    <t>SW_INT</t>
  </si>
  <si>
    <t>WH_SF</t>
  </si>
  <si>
    <t>DC Amps</t>
  </si>
  <si>
    <t>DCA_SF</t>
  </si>
  <si>
    <t>DC Voltage</t>
  </si>
  <si>
    <t>DCV_SF</t>
  </si>
  <si>
    <t>DC Watts</t>
  </si>
  <si>
    <t>DCW_SF</t>
  </si>
  <si>
    <t>Cabinet Temperature</t>
  </si>
  <si>
    <t>Heat Sink Temperature</t>
  </si>
  <si>
    <t>Transformer Temperature</t>
  </si>
  <si>
    <t>Other Temperature</t>
  </si>
  <si>
    <t>Tmp_SF</t>
  </si>
  <si>
    <t>Operating State</t>
  </si>
  <si>
    <t>ActWh</t>
  </si>
  <si>
    <t>FLOAT</t>
  </si>
  <si>
    <t>DC Current_1</t>
  </si>
  <si>
    <t>DC Voltage_1</t>
  </si>
  <si>
    <t>DC Power_1</t>
  </si>
  <si>
    <t>DC Current_2</t>
  </si>
  <si>
    <t>DC Voltage_2</t>
  </si>
  <si>
    <t>DC Power_2</t>
  </si>
  <si>
    <t>DC Current_3</t>
  </si>
  <si>
    <t>DC Voltage_3</t>
  </si>
  <si>
    <t>DC Power_3</t>
  </si>
  <si>
    <t>DC Current_4</t>
  </si>
  <si>
    <t>DC Voltage_4</t>
  </si>
  <si>
    <t>DC Power_4</t>
  </si>
  <si>
    <t>DC Current_5</t>
  </si>
  <si>
    <t>DC Voltage_5</t>
  </si>
  <si>
    <t>DC Power_5</t>
  </si>
  <si>
    <t>DC Current_6</t>
  </si>
  <si>
    <t>DC Voltage_6</t>
  </si>
  <si>
    <t>DC Power_6</t>
  </si>
  <si>
    <t>String Input Current_1</t>
  </si>
  <si>
    <t>String Input Current_2</t>
  </si>
  <si>
    <t>String Input Current_3</t>
  </si>
  <si>
    <t>String Input Current_4</t>
  </si>
  <si>
    <t>String Input Current_5</t>
  </si>
  <si>
    <t>String Input Current_6</t>
  </si>
  <si>
    <t>String Input Current_7</t>
  </si>
  <si>
    <t>String Input Current_8</t>
  </si>
  <si>
    <t>String Input Current_9</t>
  </si>
  <si>
    <t>String Input Current_10</t>
  </si>
  <si>
    <t>String Input Current_11</t>
  </si>
  <si>
    <t>String Input Current_12</t>
  </si>
  <si>
    <t>String Input Current_13</t>
  </si>
  <si>
    <t>String Input Current_14</t>
  </si>
  <si>
    <t>String Input Current_15</t>
  </si>
  <si>
    <t>String Input Current_16</t>
  </si>
  <si>
    <t>String Input Current_17</t>
  </si>
  <si>
    <t>String Input Current_18</t>
  </si>
  <si>
    <t>String Input Current_19</t>
  </si>
  <si>
    <t>String Input Current_20</t>
  </si>
  <si>
    <t>String Input Current_21</t>
  </si>
  <si>
    <t>String Input Current_22</t>
  </si>
  <si>
    <t>String Input Current_23</t>
  </si>
  <si>
    <t>String Input Current_24</t>
  </si>
  <si>
    <t>EVENT_1</t>
  </si>
  <si>
    <t>LONG</t>
  </si>
  <si>
    <t>%Command Watt Limit</t>
  </si>
  <si>
    <t>Factor</t>
  </si>
  <si>
    <t>Data Type</t>
  </si>
  <si>
    <t>Register</t>
  </si>
  <si>
    <t>1: Off
2: Sleeping
3: Starting
4: Normal
5: Throttled(Derating)
6: Shutdown
7: Fault
8: Standby</t>
  </si>
  <si>
    <t>"not use"</t>
  </si>
  <si>
    <t>"use"</t>
  </si>
  <si>
    <t>State</t>
  </si>
  <si>
    <t>Active power</t>
  </si>
  <si>
    <t>Active power adjustment</t>
  </si>
  <si>
    <t>Cabinet temperature</t>
  </si>
  <si>
    <t>Collect DSP data</t>
  </si>
  <si>
    <t>Device status</t>
  </si>
  <si>
    <t>Energy yield of current day</t>
  </si>
  <si>
    <t>SW_UINT</t>
  </si>
  <si>
    <t>Grid frequency</t>
  </si>
  <si>
    <t>Input power</t>
  </si>
  <si>
    <t>Locking</t>
  </si>
  <si>
    <t>Phase A current</t>
  </si>
  <si>
    <t>Phase A voltage</t>
  </si>
  <si>
    <t>Phase B current</t>
  </si>
  <si>
    <t>Phase B voltage</t>
  </si>
  <si>
    <t>Phase C current</t>
  </si>
  <si>
    <t>Phase C voltage</t>
  </si>
  <si>
    <t>Power factor</t>
  </si>
  <si>
    <t>PV1 voltage</t>
  </si>
  <si>
    <t>PV1 current</t>
  </si>
  <si>
    <t>PV2 voltage</t>
  </si>
  <si>
    <t>PV2 current</t>
  </si>
  <si>
    <t>PV3 voltage</t>
  </si>
  <si>
    <t>PV3 current</t>
  </si>
  <si>
    <t>PV4 voltage</t>
  </si>
  <si>
    <t>PV4 current</t>
  </si>
  <si>
    <t>PV5 voltage</t>
  </si>
  <si>
    <t>PV5 current</t>
  </si>
  <si>
    <t>PV6 voltage</t>
  </si>
  <si>
    <t>PV6 current</t>
  </si>
  <si>
    <t>PV7 voltage</t>
  </si>
  <si>
    <t>PV7 current</t>
  </si>
  <si>
    <t>PV8 voltage</t>
  </si>
  <si>
    <t>PV8 current</t>
  </si>
  <si>
    <t>PV9 voltage</t>
  </si>
  <si>
    <t>PV9 current</t>
  </si>
  <si>
    <t>PV10 voltage</t>
  </si>
  <si>
    <t>PV10 current</t>
  </si>
  <si>
    <t>PV11 voltage</t>
  </si>
  <si>
    <t>PV11 current</t>
  </si>
  <si>
    <t>PV12 voltage</t>
  </si>
  <si>
    <t>PV12 current</t>
  </si>
  <si>
    <t>PV13 voltage</t>
  </si>
  <si>
    <t>PV13 current</t>
  </si>
  <si>
    <t>PV14 voltage</t>
  </si>
  <si>
    <t>PV14 current</t>
  </si>
  <si>
    <t>PV15 voltage</t>
  </si>
  <si>
    <t>PV15 current</t>
  </si>
  <si>
    <t>PV16 voltage</t>
  </si>
  <si>
    <t>PV16 current</t>
  </si>
  <si>
    <t>PV17 voltage</t>
  </si>
  <si>
    <t>PV17 current</t>
  </si>
  <si>
    <t>PV18 voltage</t>
  </si>
  <si>
    <t>PV18 current</t>
  </si>
  <si>
    <t>PV19 voltage</t>
  </si>
  <si>
    <t>PV19 current</t>
  </si>
  <si>
    <t>PV20 voltage</t>
  </si>
  <si>
    <t>PV20 current</t>
  </si>
  <si>
    <t>Rated power</t>
  </si>
  <si>
    <t>Reactive power</t>
  </si>
  <si>
    <t>Reactive power adjustment</t>
  </si>
  <si>
    <t>Reduced CO2 emission</t>
  </si>
  <si>
    <t>Shutdown time</t>
  </si>
  <si>
    <t>Startup time</t>
  </si>
  <si>
    <t>Total energy yield</t>
  </si>
  <si>
    <t>Line Voltage L1-L2</t>
  </si>
  <si>
    <t>Line Voltage L2-L3</t>
  </si>
  <si>
    <t>Line Voltage L3-L1</t>
  </si>
  <si>
    <t>Efficiency</t>
  </si>
  <si>
    <t>Alarm_1</t>
  </si>
  <si>
    <t>Alarm_2</t>
  </si>
  <si>
    <t>Alarm_3</t>
  </si>
  <si>
    <t>Power_adjustment</t>
  </si>
  <si>
    <t>0x0000 Standby: initializing
0x0001 Standby: detecting insulation resistance
0x0002 Standby: detecting irradiation
0x0003 Standby: Grid detecting
0x0100 Starting
0x0200 On-grid 
0x0201 Grid connection: power limited 
0x0202 Grid connection: selfderating 
0x0300 Shutdown: fault
0x0301 Shutdown: command
0x0302 Shutdown: OVGR
0x0303 Shutdown: communication disconnected
0x0304 Shutdown: power limited
0x0306 Shutdown: DC switches disconnected
0xA000 Standby: no irradiation</t>
  </si>
  <si>
    <t>Total_irradiation</t>
  </si>
  <si>
    <t>Daily irradiation amount</t>
  </si>
  <si>
    <t>Total_irradiation_POA</t>
  </si>
  <si>
    <t>Daily_irradiation_amount_POA</t>
  </si>
  <si>
    <t>TOP2</t>
  </si>
  <si>
    <t>Inst  kW</t>
  </si>
  <si>
    <t>Inst  kVAr</t>
  </si>
  <si>
    <t>Ex Total  kWh</t>
  </si>
  <si>
    <t>Ex kWh RateA</t>
  </si>
  <si>
    <t>Ex kWh RateB</t>
  </si>
  <si>
    <t>Ex kWh RateC</t>
  </si>
  <si>
    <t>Ex Max kW A</t>
  </si>
  <si>
    <t>Ex Max kW B</t>
  </si>
  <si>
    <t>Ex Max kW C</t>
  </si>
  <si>
    <t>Ex kW-Cum A</t>
  </si>
  <si>
    <t>Ex kW-Cum B</t>
  </si>
  <si>
    <t>Ex kW-Cum C</t>
  </si>
  <si>
    <t>Ex Total kVArh</t>
  </si>
  <si>
    <t>Ex kVArh A</t>
  </si>
  <si>
    <t>Ex  kVArh B</t>
  </si>
  <si>
    <t>Ex kVArh C</t>
  </si>
  <si>
    <t>Ex Max kVArh A</t>
  </si>
  <si>
    <t>Ex Max kVArh B</t>
  </si>
  <si>
    <t>Ex Max kVArh C</t>
  </si>
  <si>
    <t>Ex kVArh-Cum A</t>
  </si>
  <si>
    <t>Ex kVArh-Cum B</t>
  </si>
  <si>
    <t>Ex kVArh-Cum C</t>
  </si>
  <si>
    <t>Ex BT Total kWh</t>
  </si>
  <si>
    <t>Ex BT  kWhA</t>
  </si>
  <si>
    <t>Ex BT  kWhB</t>
  </si>
  <si>
    <t>Ex BT  kWhC</t>
  </si>
  <si>
    <t>Ex PV kW A</t>
  </si>
  <si>
    <t>Ex PV kW B</t>
  </si>
  <si>
    <t>Ex PV kW C</t>
  </si>
  <si>
    <t>Ex BT Total kVAr</t>
  </si>
  <si>
    <t>Ex PV  kVAr</t>
  </si>
  <si>
    <t>Ex kVAr-Cum</t>
  </si>
  <si>
    <t>Ph A  Volt</t>
  </si>
  <si>
    <t>Ph B  Volt</t>
  </si>
  <si>
    <t>Ph C  Volt</t>
  </si>
  <si>
    <t>Ph A Curr</t>
  </si>
  <si>
    <t>Ph B Curr</t>
  </si>
  <si>
    <t>Ph C Curr</t>
  </si>
  <si>
    <t>Ph A angle</t>
  </si>
  <si>
    <t>Ph B angle</t>
  </si>
  <si>
    <t>Ph C angle</t>
  </si>
  <si>
    <t>Ph A  Watts</t>
  </si>
  <si>
    <t>Ph B  Watts</t>
  </si>
  <si>
    <t>Ph C  Watts</t>
  </si>
  <si>
    <t>Ph A  vars</t>
  </si>
  <si>
    <t>Ph B  vars</t>
  </si>
  <si>
    <t>Ph C  vars</t>
  </si>
  <si>
    <t>Ph A  VA</t>
  </si>
  <si>
    <t>Ph B  VA</t>
  </si>
  <si>
    <t>Ph C  VA</t>
  </si>
  <si>
    <t>Frequency</t>
  </si>
  <si>
    <t>Angle VTA&amp;VTB</t>
  </si>
  <si>
    <t>Angle VTA&amp;VTC</t>
  </si>
  <si>
    <t>Power Factor</t>
  </si>
  <si>
    <t>Im kWh RateA</t>
  </si>
  <si>
    <t>Im kWh RateB</t>
  </si>
  <si>
    <t>Im kWh RateC</t>
  </si>
  <si>
    <t>Im Max kW A</t>
  </si>
  <si>
    <t>Im Max kW B</t>
  </si>
  <si>
    <t>Im Max kW C</t>
  </si>
  <si>
    <t>Im Total kVArh</t>
  </si>
  <si>
    <t>Im kVArh A</t>
  </si>
  <si>
    <t>Im kVArh B</t>
  </si>
  <si>
    <t>Im kVArh C</t>
  </si>
  <si>
    <t>Im Max kVArh A</t>
  </si>
  <si>
    <t>Im Max kVArh B</t>
  </si>
  <si>
    <t>Im Max kVArh C</t>
  </si>
  <si>
    <t>Im kVArh-CumA</t>
  </si>
  <si>
    <t>Im kVArh-CumB</t>
  </si>
  <si>
    <t>Im kVArh-CumC</t>
  </si>
  <si>
    <t>Im BT Total kWh</t>
  </si>
  <si>
    <t>Im BT kWh A</t>
  </si>
  <si>
    <t>Im BT kWh B</t>
  </si>
  <si>
    <t>Im BT kWh C</t>
  </si>
  <si>
    <t>Im PV kW A</t>
  </si>
  <si>
    <t>Im PV kW B</t>
  </si>
  <si>
    <t>Im PV kW C</t>
  </si>
  <si>
    <t>Im kW-Cum A</t>
  </si>
  <si>
    <t>Im kW-Cum B</t>
  </si>
  <si>
    <t>Im kW-Cum C</t>
  </si>
  <si>
    <t>Im BT Total kVAr</t>
  </si>
  <si>
    <t>Im PV kVAr</t>
  </si>
  <si>
    <t>Im kVAr-Cum</t>
  </si>
  <si>
    <t>Im Total kWh</t>
  </si>
  <si>
    <t>Ex PV KVarh</t>
  </si>
  <si>
    <t>Ex PV KVarh Time</t>
  </si>
  <si>
    <t>Ex  Total kVAr</t>
  </si>
  <si>
    <t>0000F032</t>
  </si>
  <si>
    <t>NB Reset</t>
  </si>
  <si>
    <t>Ex PV kW A Time</t>
  </si>
  <si>
    <t>Ex PV kW B Time</t>
  </si>
  <si>
    <t>Ex PV kW C Time</t>
  </si>
  <si>
    <t>0000FC00</t>
  </si>
  <si>
    <t>DT of Reset</t>
  </si>
  <si>
    <t>0000E033</t>
  </si>
  <si>
    <t>0000E043</t>
  </si>
  <si>
    <t>00000069</t>
  </si>
  <si>
    <t>00000000</t>
  </si>
  <si>
    <t>00000001</t>
  </si>
  <si>
    <t>00000002</t>
  </si>
  <si>
    <t>00001000</t>
  </si>
  <si>
    <t>00001001</t>
  </si>
  <si>
    <t>00001002</t>
  </si>
  <si>
    <t>00001040</t>
  </si>
  <si>
    <t>00001041</t>
  </si>
  <si>
    <t>00001042</t>
  </si>
  <si>
    <t>00000169</t>
  </si>
  <si>
    <t>00000160</t>
  </si>
  <si>
    <t>00000161</t>
  </si>
  <si>
    <t>00000162</t>
  </si>
  <si>
    <t>00001100</t>
  </si>
  <si>
    <t>00001101</t>
  </si>
  <si>
    <t>00001102</t>
  </si>
  <si>
    <t>00000140</t>
  </si>
  <si>
    <t>00000141</t>
  </si>
  <si>
    <t>00000142</t>
  </si>
  <si>
    <t>00000049</t>
  </si>
  <si>
    <t>00000040</t>
  </si>
  <si>
    <t>00000041</t>
  </si>
  <si>
    <t>00000042</t>
  </si>
  <si>
    <t>00001020</t>
  </si>
  <si>
    <t>00001021</t>
  </si>
  <si>
    <t>00001022</t>
  </si>
  <si>
    <t>00000149</t>
  </si>
  <si>
    <t>00000129</t>
  </si>
  <si>
    <t>0000E000</t>
  </si>
  <si>
    <t>0000E001</t>
  </si>
  <si>
    <t>0000E002</t>
  </si>
  <si>
    <t>0000E010</t>
  </si>
  <si>
    <t>0000E011</t>
  </si>
  <si>
    <t>0000E012</t>
  </si>
  <si>
    <t>0000E020</t>
  </si>
  <si>
    <t>0000E021</t>
  </si>
  <si>
    <t>0000E022</t>
  </si>
  <si>
    <t>0000E030</t>
  </si>
  <si>
    <t>0000E031</t>
  </si>
  <si>
    <t>0000E032</t>
  </si>
  <si>
    <t>0000E040</t>
  </si>
  <si>
    <t>0000E041</t>
  </si>
  <si>
    <t>0000E042</t>
  </si>
  <si>
    <t>0000E050</t>
  </si>
  <si>
    <t>0000E051</t>
  </si>
  <si>
    <t>0000E052</t>
  </si>
  <si>
    <t>0000E060</t>
  </si>
  <si>
    <t>0000E024</t>
  </si>
  <si>
    <t>0000E025</t>
  </si>
  <si>
    <t>0000E026</t>
  </si>
  <si>
    <t>00000200</t>
  </si>
  <si>
    <t>00000201</t>
  </si>
  <si>
    <t>00000202</t>
  </si>
  <si>
    <t>00001200</t>
  </si>
  <si>
    <t>00001201</t>
  </si>
  <si>
    <t>00001202</t>
  </si>
  <si>
    <t>00000369</t>
  </si>
  <si>
    <t>00000360</t>
  </si>
  <si>
    <t>00000361</t>
  </si>
  <si>
    <t>00000362</t>
  </si>
  <si>
    <t>00001300</t>
  </si>
  <si>
    <t>00001301</t>
  </si>
  <si>
    <t>00001302</t>
  </si>
  <si>
    <t>00000340</t>
  </si>
  <si>
    <t>00000341</t>
  </si>
  <si>
    <t>00000342</t>
  </si>
  <si>
    <t>00000249</t>
  </si>
  <si>
    <t>00000240</t>
  </si>
  <si>
    <t>00000241</t>
  </si>
  <si>
    <t>00000242</t>
  </si>
  <si>
    <t>00001220</t>
  </si>
  <si>
    <t>00001221</t>
  </si>
  <si>
    <t>00001222</t>
  </si>
  <si>
    <t>00001240</t>
  </si>
  <si>
    <t>00001241</t>
  </si>
  <si>
    <t>00001242</t>
  </si>
  <si>
    <t>00001349</t>
  </si>
  <si>
    <t>00000329</t>
  </si>
  <si>
    <t>00000269</t>
  </si>
  <si>
    <t>00001129</t>
  </si>
  <si>
    <t>00008129</t>
  </si>
  <si>
    <t>00001149</t>
  </si>
  <si>
    <t>00008020</t>
  </si>
  <si>
    <t>00008021</t>
  </si>
  <si>
    <t>00008022</t>
  </si>
  <si>
    <t>193</t>
  </si>
  <si>
    <t>0000FFFE</t>
  </si>
  <si>
    <t>0000F010</t>
  </si>
  <si>
    <t>0000F011</t>
  </si>
  <si>
    <t>00000060</t>
  </si>
  <si>
    <t>00000061</t>
  </si>
  <si>
    <t>00000062</t>
  </si>
  <si>
    <t>00001140</t>
  </si>
  <si>
    <t>00001141</t>
  </si>
  <si>
    <t>00001142</t>
  </si>
  <si>
    <t>0000F541</t>
  </si>
  <si>
    <t>0000F00A</t>
  </si>
  <si>
    <t>0000F500</t>
  </si>
  <si>
    <t>0000F540</t>
  </si>
  <si>
    <t>0000FC20</t>
  </si>
  <si>
    <t>0000F093</t>
  </si>
  <si>
    <t>0000F016</t>
  </si>
  <si>
    <t>0000F017</t>
  </si>
  <si>
    <t>Reg 0000FFFE'</t>
  </si>
  <si>
    <t>090 Current Date'</t>
  </si>
  <si>
    <t>091 Current Time'</t>
  </si>
  <si>
    <t>095D/TLast reset'</t>
  </si>
  <si>
    <t>096 No. of reset'</t>
  </si>
  <si>
    <t>093 Inst. kW'</t>
  </si>
  <si>
    <t>193 Inst. kVAr'</t>
  </si>
  <si>
    <t>'000 Total kWh'</t>
  </si>
  <si>
    <t>001 kWh Rate A'</t>
  </si>
  <si>
    <t>002 kWh Rate B'</t>
  </si>
  <si>
    <t>003 kWh Rate C'</t>
  </si>
  <si>
    <t>005 Max kW A'</t>
  </si>
  <si>
    <t>006 Max kW B'</t>
  </si>
  <si>
    <t>007 Max kW C'</t>
  </si>
  <si>
    <t>015 kW-Cum A '</t>
  </si>
  <si>
    <t>016 kW-Cum B '</t>
  </si>
  <si>
    <t>017 kW-Cum C'</t>
  </si>
  <si>
    <t>100 Total kVArh'</t>
  </si>
  <si>
    <t>101 kVArh A'</t>
  </si>
  <si>
    <t>102 kVArh B'</t>
  </si>
  <si>
    <t>103 kVArh C'</t>
  </si>
  <si>
    <t>105 Max kVAr A'</t>
  </si>
  <si>
    <t>106 Max kVAr B'</t>
  </si>
  <si>
    <t>107 Max kVAr C'</t>
  </si>
  <si>
    <t>115 kVAr-Cum A '</t>
  </si>
  <si>
    <t>116 kVAr-Cum B'</t>
  </si>
  <si>
    <t>117 kVAr-Cum C'</t>
  </si>
  <si>
    <t>CT Ratio'</t>
  </si>
  <si>
    <t>VT Ratio'</t>
  </si>
  <si>
    <t>Measurement Meth'</t>
  </si>
  <si>
    <t>ABC_V+ABC_A'</t>
  </si>
  <si>
    <t>V I Angle PhA'</t>
  </si>
  <si>
    <t>V I Angle PhB'</t>
  </si>
  <si>
    <t>V I Angle PhC'</t>
  </si>
  <si>
    <t>Power Factor'</t>
  </si>
  <si>
    <t>Frequency'</t>
  </si>
  <si>
    <t>192LastPowerDown'</t>
  </si>
  <si>
    <t xml:space="preserve">292Last Power Up' </t>
  </si>
  <si>
    <t>095D/T Last rese'</t>
  </si>
  <si>
    <t>096 No. of Reset'</t>
  </si>
  <si>
    <t>111 BT Total kWh'</t>
  </si>
  <si>
    <t>'010 BT kWh A'</t>
  </si>
  <si>
    <t>020 BT kWh B'</t>
  </si>
  <si>
    <t>'030 BT kWh C'</t>
  </si>
  <si>
    <t>050 PV kW A'</t>
  </si>
  <si>
    <t>060 PV kW B'</t>
  </si>
  <si>
    <t>070 PV kW C'</t>
  </si>
  <si>
    <t>015 kW-Cum A'</t>
  </si>
  <si>
    <t>016 kW-Cum B'</t>
  </si>
  <si>
    <t>222BTTotal kVArh'</t>
  </si>
  <si>
    <t>280 PV kVAr'</t>
  </si>
  <si>
    <t>118  kVAr-Cum'</t>
  </si>
  <si>
    <t>Current Status F'</t>
  </si>
  <si>
    <t>Latched Status F'</t>
  </si>
  <si>
    <t>B</t>
  </si>
  <si>
    <t>C</t>
  </si>
  <si>
    <t>Current Date</t>
  </si>
  <si>
    <t>Current Time</t>
  </si>
  <si>
    <t>Reg 0000FFFE</t>
  </si>
  <si>
    <t>No. of reset</t>
  </si>
  <si>
    <t>D/TLast reset</t>
  </si>
  <si>
    <t>000 Total kWh</t>
  </si>
  <si>
    <t>CT Ratio</t>
  </si>
  <si>
    <t>VT Ratio</t>
  </si>
  <si>
    <t>Measurement Meth</t>
  </si>
  <si>
    <t>ABC_V+ABC_A</t>
  </si>
  <si>
    <t>V I Angle PhA</t>
  </si>
  <si>
    <t>V I Angle PhB</t>
  </si>
  <si>
    <t>V I Angle PhC</t>
  </si>
  <si>
    <t>LastPowerDown</t>
  </si>
  <si>
    <t>D/T Last rese</t>
  </si>
  <si>
    <t>010 BT kWh A</t>
  </si>
  <si>
    <t>030 BT kWh C</t>
  </si>
  <si>
    <t>BTTotal kVArh</t>
  </si>
  <si>
    <t>Current Status F</t>
  </si>
  <si>
    <t>Latched Status F</t>
  </si>
  <si>
    <t>Inst. kW</t>
  </si>
  <si>
    <t>Inst. kVAr</t>
  </si>
  <si>
    <t>kWh Rate A</t>
  </si>
  <si>
    <t>kWh Rate B</t>
  </si>
  <si>
    <t>kWh Rate C</t>
  </si>
  <si>
    <t>Max kW A</t>
  </si>
  <si>
    <t>Max kW B</t>
  </si>
  <si>
    <t>Max kW C</t>
  </si>
  <si>
    <t>kW-Cum A</t>
  </si>
  <si>
    <t>kW-Cum B</t>
  </si>
  <si>
    <t>kW-Cum C</t>
  </si>
  <si>
    <t>Total kVArh</t>
  </si>
  <si>
    <t>kVArh A</t>
  </si>
  <si>
    <t>kVArh B</t>
  </si>
  <si>
    <t>kVArh C</t>
  </si>
  <si>
    <t>Max kVAr A</t>
  </si>
  <si>
    <t>Max kVAr B</t>
  </si>
  <si>
    <t>Max kVAr C</t>
  </si>
  <si>
    <t>kVAr-Cum A</t>
  </si>
  <si>
    <t>kVAr-Cum B</t>
  </si>
  <si>
    <t>kVAr-Cum C</t>
  </si>
  <si>
    <t>Last Power Up</t>
  </si>
  <si>
    <t>No. of Reset</t>
  </si>
  <si>
    <t>BT Total kWh</t>
  </si>
  <si>
    <t>BT kWh B</t>
  </si>
  <si>
    <t>PV kW A</t>
  </si>
  <si>
    <t>PV kW B</t>
  </si>
  <si>
    <t>PV kW C</t>
  </si>
  <si>
    <t>PV kVAr</t>
  </si>
  <si>
    <t>kVAr-Cum</t>
  </si>
  <si>
    <t>0000</t>
  </si>
  <si>
    <t>090</t>
  </si>
  <si>
    <t>091</t>
  </si>
  <si>
    <t>095</t>
  </si>
  <si>
    <t>096</t>
  </si>
  <si>
    <t>093</t>
  </si>
  <si>
    <t>000</t>
  </si>
  <si>
    <t>001</t>
  </si>
  <si>
    <t>002</t>
  </si>
  <si>
    <t>003</t>
  </si>
  <si>
    <t>005</t>
  </si>
  <si>
    <t>006</t>
  </si>
  <si>
    <t>007</t>
  </si>
  <si>
    <t>015</t>
  </si>
  <si>
    <t>016</t>
  </si>
  <si>
    <t>017</t>
  </si>
  <si>
    <t>100</t>
  </si>
  <si>
    <t>101</t>
  </si>
  <si>
    <t>102</t>
  </si>
  <si>
    <t>103</t>
  </si>
  <si>
    <t>105</t>
  </si>
  <si>
    <t>106</t>
  </si>
  <si>
    <t>107</t>
  </si>
  <si>
    <t>115</t>
  </si>
  <si>
    <t>116</t>
  </si>
  <si>
    <t>117</t>
  </si>
  <si>
    <t/>
  </si>
  <si>
    <t>192</t>
  </si>
  <si>
    <t>292</t>
  </si>
  <si>
    <t>111</t>
  </si>
  <si>
    <t>010</t>
  </si>
  <si>
    <t>020</t>
  </si>
  <si>
    <t>030</t>
  </si>
  <si>
    <t>050</t>
  </si>
  <si>
    <t>060</t>
  </si>
  <si>
    <t>070</t>
  </si>
  <si>
    <t>222</t>
  </si>
  <si>
    <t>280</t>
  </si>
  <si>
    <t>118</t>
  </si>
  <si>
    <t>ID</t>
  </si>
  <si>
    <t>Previous value displayed in Section C</t>
  </si>
  <si>
    <t>Previous LCD Checking</t>
  </si>
  <si>
    <t>Previous DD-MM-YY of Reading</t>
  </si>
  <si>
    <t>Previous Time of Reading</t>
  </si>
  <si>
    <t>Previous DD-MM-YY : Time of Reset</t>
  </si>
  <si>
    <t>PreviousTimes of Reset</t>
  </si>
  <si>
    <t>Previous kWh Total Reading(Reset)</t>
  </si>
  <si>
    <t>Previous kWh Rate A Reading(Reset)</t>
  </si>
  <si>
    <t>Previous kWh Rate B Reading(Reset)</t>
  </si>
  <si>
    <t>Previous kWh Rate C Reading(Reset)</t>
  </si>
  <si>
    <t>Previous kWp Rate A Reading(Reset)</t>
  </si>
  <si>
    <t>Previous kWp Rate B Reading(Reset)</t>
  </si>
  <si>
    <t>Previous kWp Rate C Reading(Reset)</t>
  </si>
  <si>
    <t>Previous Comulative kWh-Rate A Reading</t>
  </si>
  <si>
    <t>Previous Comulative kWh-Rate B Reading</t>
  </si>
  <si>
    <t>Previous Comulative kWh-Rate C Reading</t>
  </si>
  <si>
    <t>Previous total of kVarh total  Reading(Reset)</t>
  </si>
  <si>
    <t>Previous kVar demand Total Reading(Reset)</t>
  </si>
  <si>
    <t>Previous Comulative kVarh demand Total Reading(Reset)</t>
  </si>
  <si>
    <t>Im BT Total kVArh</t>
  </si>
  <si>
    <t>0000F002</t>
  </si>
  <si>
    <t>Serial No</t>
  </si>
  <si>
    <t>Ex BT Total kVA</t>
  </si>
  <si>
    <t>Im BT Total kVA</t>
  </si>
  <si>
    <t>Ex PV KVarh Tim</t>
  </si>
  <si>
    <t>Inst_kW</t>
  </si>
  <si>
    <t>Inst_kVAr</t>
  </si>
  <si>
    <t>Ex_Total_kWh</t>
  </si>
  <si>
    <t>Ex_kWh_RateA</t>
  </si>
  <si>
    <t>Ex_kWh_RateB</t>
  </si>
  <si>
    <t>Ex_kWh_RateC</t>
  </si>
  <si>
    <t>Ex_Max_kW_A</t>
  </si>
  <si>
    <t>Ex_Max_kW_B</t>
  </si>
  <si>
    <t>Ex_Max_kW_C</t>
  </si>
  <si>
    <t>Ex_kW_Cum_A</t>
  </si>
  <si>
    <t>Ex_kW_Cum_B</t>
  </si>
  <si>
    <t>Ex_kW_Cum_C</t>
  </si>
  <si>
    <t>Ex_Total_kVArh</t>
  </si>
  <si>
    <t>Ex_kVArh_RateA</t>
  </si>
  <si>
    <t>Ex_kVArh_RateB</t>
  </si>
  <si>
    <t>Ex_kVArh_RateC</t>
  </si>
  <si>
    <t>Ex_Max_kVAr_A</t>
  </si>
  <si>
    <t>Ex_Max_kVAr_B</t>
  </si>
  <si>
    <t>Ex_Max_kVAr_C</t>
  </si>
  <si>
    <t>Ex_kVAr_Cum_A</t>
  </si>
  <si>
    <t>Ex_kVAr_Cum_B</t>
  </si>
  <si>
    <t>Ex_kVAr_Cum_C</t>
  </si>
  <si>
    <t>Ex_BT_Total_kWh</t>
  </si>
  <si>
    <t>Ex_BT_kWhA</t>
  </si>
  <si>
    <t>Ex_BT_kWhB</t>
  </si>
  <si>
    <t>Ex_BT_kWhC</t>
  </si>
  <si>
    <t>Ex_PV_kW_A</t>
  </si>
  <si>
    <t>Ex_PV_kW_B</t>
  </si>
  <si>
    <t>Ex_PV_kW_C</t>
  </si>
  <si>
    <t>Ex_kW_Cum_A2</t>
  </si>
  <si>
    <t>Ex_kW_Cum_B2</t>
  </si>
  <si>
    <t>Ex_kW_Cum_C2</t>
  </si>
  <si>
    <t>Ex_BT_Total_kVAr</t>
  </si>
  <si>
    <t>Ex_PV_kVAr</t>
  </si>
  <si>
    <t>Ex_kVAr_Cum</t>
  </si>
  <si>
    <t>Ph_A_Volt</t>
  </si>
  <si>
    <t>Ph_B_Volt</t>
  </si>
  <si>
    <t>Ph_C_Volt</t>
  </si>
  <si>
    <t>Ph_A_Curr</t>
  </si>
  <si>
    <t>Ph_B_Curr</t>
  </si>
  <si>
    <t>Ph_C_Curr</t>
  </si>
  <si>
    <t>Ph_A_angle</t>
  </si>
  <si>
    <t>Ph_B_angle</t>
  </si>
  <si>
    <t>Ph_C_angle</t>
  </si>
  <si>
    <t>Ph_A_Watts</t>
  </si>
  <si>
    <t>Ph_B_Watts</t>
  </si>
  <si>
    <t>Ph_C_Watts</t>
  </si>
  <si>
    <t>Ph_A_vars</t>
  </si>
  <si>
    <t>Ph_B_vars</t>
  </si>
  <si>
    <t>Ph_C_vars</t>
  </si>
  <si>
    <t>Ph_A_VA</t>
  </si>
  <si>
    <t>Ph_B_VA</t>
  </si>
  <si>
    <t>Ph_C_VA</t>
  </si>
  <si>
    <t>Angle_VT_AB</t>
  </si>
  <si>
    <t>Angle_VT_AC</t>
  </si>
  <si>
    <t>Power_factor</t>
  </si>
  <si>
    <t>Im_kWh_RateA</t>
  </si>
  <si>
    <t>Im_kWh_RateB</t>
  </si>
  <si>
    <t>Im_kWh_RateC</t>
  </si>
  <si>
    <t>Im_Max_kW_A</t>
  </si>
  <si>
    <t>Im_Max_kW_B</t>
  </si>
  <si>
    <t>Im_Max_kW_C</t>
  </si>
  <si>
    <t>Im_Total_kVArh</t>
  </si>
  <si>
    <t>Im_kVArh_RateA</t>
  </si>
  <si>
    <t>Im_kVArh_RateB</t>
  </si>
  <si>
    <t>Im_kVArh_RateC</t>
  </si>
  <si>
    <t>Im_Max_kVAr_A</t>
  </si>
  <si>
    <t>Im_Max_kVAr_B</t>
  </si>
  <si>
    <t>Im_Max_kVAr_C</t>
  </si>
  <si>
    <t>Im_kVAr_Cum_A</t>
  </si>
  <si>
    <t>Im_kVAr_Cum_B</t>
  </si>
  <si>
    <t>Im_kVAr_Cum_C</t>
  </si>
  <si>
    <t>Im_BT_Total_kWh</t>
  </si>
  <si>
    <t>Im_BT_kWhA</t>
  </si>
  <si>
    <t>Im_BT_kWhB</t>
  </si>
  <si>
    <t>Im_BT_kWhC</t>
  </si>
  <si>
    <t>Im_PV_kW_A</t>
  </si>
  <si>
    <t>Im_PV_kW_B</t>
  </si>
  <si>
    <t>Im_PV_kW_C</t>
  </si>
  <si>
    <t>Im_kW_Cum_A</t>
  </si>
  <si>
    <t>Im_kW_Cum_B</t>
  </si>
  <si>
    <t>Im_kW_Cum_C</t>
  </si>
  <si>
    <t>Im_BT_Total_kVAr</t>
  </si>
  <si>
    <t>Im_PV_kVAr</t>
  </si>
  <si>
    <t>Im_kVAr_Cum</t>
  </si>
  <si>
    <t>Peak Active power A</t>
  </si>
  <si>
    <t>Peak Active power B</t>
  </si>
  <si>
    <t>Peak Active power C</t>
  </si>
  <si>
    <t>Peak Reactive Power</t>
  </si>
  <si>
    <t>Ex_Total_kVAr</t>
  </si>
  <si>
    <t>No_of_Reset</t>
  </si>
  <si>
    <t>MODBUS VISTEC1&amp;2&amp;KVIS</t>
  </si>
  <si>
    <t>ENOS KVIS</t>
  </si>
  <si>
    <t>ENOS VISTEC</t>
  </si>
  <si>
    <t>VT3</t>
  </si>
  <si>
    <t>Used</t>
  </si>
  <si>
    <t>Peak_Time_A_1</t>
  </si>
  <si>
    <t>DOUBLE</t>
  </si>
  <si>
    <t>สรุป</t>
  </si>
  <si>
    <t>TOP1</t>
  </si>
  <si>
    <t>Modbus_VSPP_CHPP3_MK6E_Exlm_m</t>
  </si>
  <si>
    <t>Modbus_VSPP_CHPP7_MK6E_Exlm_m</t>
  </si>
  <si>
    <t>Modbus_VSPP Mk6E_Exlm V1</t>
  </si>
  <si>
    <t>Ex Max kVAr A</t>
  </si>
  <si>
    <t>Ex Max kVAr B</t>
  </si>
  <si>
    <t>Ex Max kVAr C</t>
  </si>
  <si>
    <t>0000F03D</t>
  </si>
  <si>
    <t>Current DateTime</t>
  </si>
  <si>
    <t>DT LastReset</t>
  </si>
  <si>
    <t>No.of reset</t>
  </si>
  <si>
    <t>CT ratio</t>
  </si>
  <si>
    <t>VT ratio</t>
  </si>
  <si>
    <t>Last PowerDown</t>
  </si>
  <si>
    <t>Last PowerUP</t>
  </si>
  <si>
    <t>Current Alarm</t>
  </si>
  <si>
    <t>Latched Alarm</t>
  </si>
  <si>
    <t>Ex BT kWh Rate A</t>
  </si>
  <si>
    <t>Ex BT kWh Rate B</t>
  </si>
  <si>
    <t>Ex BT kWh Rate C</t>
  </si>
  <si>
    <t>Ex PV kWh  C</t>
  </si>
  <si>
    <t>Ex PV kWh  B</t>
  </si>
  <si>
    <t>Ex PV kWp A Time</t>
  </si>
  <si>
    <t>Ex PV kWp B Time</t>
  </si>
  <si>
    <t>Ex PV kWp C Time</t>
  </si>
  <si>
    <t>ModB</t>
  </si>
  <si>
    <t>is using</t>
  </si>
  <si>
    <t>rt for accessing slave</t>
  </si>
  <si>
    <t>meters.</t>
  </si>
  <si>
    <t>A-B line voltage</t>
  </si>
  <si>
    <t>EMT.VolL1</t>
  </si>
  <si>
    <t>B-C line voltage</t>
  </si>
  <si>
    <t>EMT.VolL2</t>
  </si>
  <si>
    <t>C-A line voltage</t>
  </si>
  <si>
    <t>EMT.VolL3</t>
  </si>
  <si>
    <t>EMT.CurPh1</t>
  </si>
  <si>
    <t>EMT.CurPh2</t>
  </si>
  <si>
    <t>EMT.CurPh3</t>
  </si>
  <si>
    <t>EMT.APProductionKWH</t>
  </si>
  <si>
    <t>EMT.RPProductionKWH</t>
  </si>
  <si>
    <t>EMT.APConsumedKWH</t>
  </si>
  <si>
    <t>EMT.RPConsumedKWH</t>
  </si>
  <si>
    <t>Active Power</t>
  </si>
  <si>
    <t>EMT.ActivePW</t>
  </si>
  <si>
    <t>Reactive Power</t>
  </si>
  <si>
    <t>EMT.ReactivePW</t>
  </si>
  <si>
    <t>PTTMRB</t>
  </si>
  <si>
    <t>แก้ ENOS และ Meter</t>
  </si>
  <si>
    <t>0000F092</t>
  </si>
  <si>
    <t>Check_LCD</t>
  </si>
  <si>
    <t>Count_reset</t>
  </si>
  <si>
    <t>Date_time</t>
  </si>
  <si>
    <t>Date_Reset_meter</t>
  </si>
  <si>
    <t>Modbus_VSPP_CHPP3_MK6E_OR_4</t>
  </si>
  <si>
    <t>ใช้กับ VT1&amp;2 KVIS</t>
  </si>
  <si>
    <t>Im_total_kWh</t>
  </si>
  <si>
    <t>METER</t>
  </si>
  <si>
    <t>Enos</t>
  </si>
  <si>
    <t>Suretex</t>
  </si>
  <si>
    <t>date_to_reset_meter</t>
  </si>
  <si>
    <t>check_lcd</t>
  </si>
  <si>
    <t>count_reset</t>
  </si>
  <si>
    <t>Im total KWh Rate A</t>
  </si>
  <si>
    <t>Im total KWh Rate B</t>
  </si>
  <si>
    <t>Im total KWh Rate C</t>
  </si>
  <si>
    <t>Im total KWh 2</t>
  </si>
  <si>
    <t>00000260</t>
  </si>
  <si>
    <t>00000261</t>
  </si>
  <si>
    <t>00000262</t>
  </si>
  <si>
    <t>Modbus_VSPP_CHPP3_MK6E_INI_2</t>
  </si>
  <si>
    <t>Im_Total_kWh</t>
  </si>
  <si>
    <t>Im_kW_Cum_A2</t>
  </si>
  <si>
    <t>Im_kW_Cum_B2</t>
  </si>
  <si>
    <t>Im_kW_Cum_C2</t>
  </si>
  <si>
    <t>Ex_total_kWh</t>
  </si>
  <si>
    <t>I_Total_KWh_2</t>
  </si>
  <si>
    <t>Im_Total_KWh_2</t>
  </si>
  <si>
    <t>I_total_KWh_RateA_2</t>
  </si>
  <si>
    <t>Im_total_KWh_RateA_2</t>
  </si>
  <si>
    <t>I_total_KWh_RateB_2</t>
  </si>
  <si>
    <t>Im_total_KWh_RateB_2</t>
  </si>
  <si>
    <t>I_total_KWh_RateC_2</t>
  </si>
  <si>
    <t>Im_total_KWh_RateC_2</t>
  </si>
  <si>
    <t>Enter</t>
  </si>
  <si>
    <t>Futureflex</t>
  </si>
  <si>
    <t>VT1&amp;VT2&amp;KVIS</t>
  </si>
  <si>
    <t>Minburi</t>
  </si>
  <si>
    <t>SMA</t>
  </si>
  <si>
    <t>Solar1</t>
  </si>
  <si>
    <t>ABB : SAX</t>
  </si>
  <si>
    <t>Huawei : NA</t>
  </si>
  <si>
    <t>SMA : Nuttsu</t>
  </si>
  <si>
    <t xml:space="preserve">SolarEdge : </t>
  </si>
  <si>
    <t>PIC Middleware</t>
  </si>
  <si>
    <t>API Key</t>
  </si>
  <si>
    <t>ygm_FUHz9QdfDPQpc1IaSsdn0OIERUmQ1kA2zM7k85yTeyM</t>
  </si>
  <si>
    <t>04/08/2026 15:30-16:30</t>
  </si>
  <si>
    <t>Target Date install</t>
  </si>
  <si>
    <t>Yoko Remark</t>
  </si>
  <si>
    <t>Solar1 ไม่มี internet</t>
  </si>
  <si>
    <t>ตรวจสอบแล้วมี Internet</t>
  </si>
  <si>
    <t>s</t>
  </si>
  <si>
    <t>Done</t>
  </si>
  <si>
    <t>07/08/2026 13:30-16:30</t>
  </si>
  <si>
    <t>11/08/2026 13:30-16:30</t>
  </si>
  <si>
    <t>04/08/2026 13:30-15:30</t>
  </si>
  <si>
    <t>05/08/2026 13:30-16:30</t>
  </si>
  <si>
    <t>อยู่ Zone เดียวกัน</t>
  </si>
  <si>
    <t>ygm_00M8LbgAd96VvD56Nma1uccjIuvVkVbiqts87UbmWxI</t>
  </si>
  <si>
    <t>ygm_2SahybmGZfoApzOLk65zwIxvyodAXD2f0yhIamiDTvU</t>
  </si>
  <si>
    <t>ygm_Y9VkJob0alwMR5M52lszfyPE4iodYXAdy-JBYzwTGo0</t>
  </si>
  <si>
    <t>ygm_RYsAtCAGydKABEGahLab43lBB9EHHeyyOouOL347RY4</t>
  </si>
  <si>
    <t>ygm_MoAMjwOy_Xh1tuEbsZM4_82BG6LloSLMfaAvhFTNzrs</t>
  </si>
  <si>
    <t>ygm_gY1iebmiCIELtHX1KsX4pS2LlsYDuBYy36VmiZ-BU10</t>
  </si>
  <si>
    <t>ygm_09DCXdskJBE8_D8s0AhI7j7YdXiqG9Pzq23Pl7OpJeQ</t>
  </si>
  <si>
    <t>Key ref</t>
  </si>
  <si>
    <t>O8sJQiAWhQTGDygbIDIea2u+QvxuaFJ+vHmdaAE+R2HcHnrfuD3bc82QeH/YFyaW32pTODZy/hLEWAKSwTijEg==</t>
  </si>
  <si>
    <t>mc id</t>
  </si>
  <si>
    <t>0A775DA8A4CDE838</t>
  </si>
  <si>
    <t>4A6E34BF9B08BB06</t>
  </si>
  <si>
    <t>30AD4DF0D366091B</t>
  </si>
  <si>
    <t>0A8E57B5C2B538A2</t>
  </si>
  <si>
    <t>4134D5B9244E5450</t>
  </si>
  <si>
    <t>FDA2301E661BB7CD</t>
  </si>
  <si>
    <t>9ED732AAAB654915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</si>
</sst>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4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11"/>
      <color rgb="FF313138"/>
      <name val="Segoe UI"/>
      <family val="2"/>
    </font>
    <font>
      <sz val="11"/>
      <color rgb="FF000000"/>
      <name val="Tahoma"/>
      <family val="2"/>
    </font>
    <font>
      <sz val="8"/>
      <color theme="1"/>
      <name val="Arial Nova"/>
      <family val="2"/>
    </font>
    <font>
      <b/>
      <sz val="10"/>
      <color theme="1"/>
      <name val="Arial Nova"/>
      <family val="2"/>
    </font>
    <font>
      <b/>
      <sz val="10"/>
      <color indexed="8"/>
      <name val="Arial Nova"/>
      <family val="2"/>
    </font>
    <font>
      <b/>
      <sz val="13"/>
      <color theme="1"/>
      <name val="Aptos Narrow"/>
      <family val="2"/>
      <scheme val="minor"/>
    </font>
    <font>
      <b/>
      <sz val="13"/>
      <color rgb="FF000000"/>
      <name val="Tahoma"/>
      <family val="2"/>
    </font>
    <font>
      <sz val="13"/>
      <color theme="1"/>
      <name val="Aptos Narrow"/>
      <family val="2"/>
      <scheme val="minor"/>
    </font>
    <font>
      <sz val="13"/>
      <color rgb="FF000000"/>
      <name val="Tahoma"/>
      <family val="2"/>
    </font>
    <font>
      <sz val="13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indent="1"/>
    </xf>
    <xf numFmtId="0" fontId="6" fillId="0" borderId="0" xfId="0" applyFont="1" applyAlignment="1">
      <alignment horizontal="left" vertical="top" wrapText="1" indent="1"/>
    </xf>
    <xf numFmtId="49" fontId="0" fillId="0" borderId="0" xfId="0" applyNumberFormat="1"/>
    <xf numFmtId="0" fontId="0" fillId="0" borderId="0" xfId="0" quotePrefix="1"/>
    <xf numFmtId="0" fontId="11" fillId="2" borderId="1" xfId="0" applyFont="1" applyFill="1" applyBorder="1"/>
    <xf numFmtId="14" fontId="12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2" fontId="12" fillId="3" borderId="1" xfId="0" quotePrefix="1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center"/>
    </xf>
    <xf numFmtId="49" fontId="0" fillId="4" borderId="0" xfId="0" applyNumberForma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/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horizontal="center"/>
    </xf>
    <xf numFmtId="0" fontId="3" fillId="6" borderId="1" xfId="0" applyFont="1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0D89-4EC0-4F80-A577-59AEE9EABEEE}">
  <dimension ref="A1:T26"/>
  <sheetViews>
    <sheetView zoomScale="115" zoomScaleNormal="115" workbookViewId="0">
      <selection activeCell="Q21" sqref="Q21"/>
    </sheetView>
  </sheetViews>
  <sheetFormatPr defaultRowHeight="16.5" x14ac:dyDescent="0.3"/>
  <cols>
    <col min="1" max="1" width="7.125" customWidth="1"/>
    <col min="2" max="2" width="17.25" bestFit="1" customWidth="1"/>
    <col min="3" max="3" width="16" customWidth="1"/>
    <col min="4" max="5" width="10.125" customWidth="1"/>
    <col min="6" max="7" width="10.375" customWidth="1"/>
    <col min="8" max="8" width="13.25" customWidth="1"/>
    <col min="10" max="12" width="19.25" customWidth="1"/>
    <col min="13" max="13" width="13.125" customWidth="1"/>
    <col min="14" max="14" width="17" hidden="1" customWidth="1"/>
    <col min="15" max="15" width="20.625" bestFit="1" customWidth="1"/>
    <col min="16" max="16" width="30.375" bestFit="1" customWidth="1"/>
    <col min="17" max="17" width="31" bestFit="1" customWidth="1"/>
    <col min="18" max="18" width="18.75" bestFit="1" customWidth="1"/>
    <col min="19" max="19" width="57.5" customWidth="1"/>
    <col min="20" max="20" width="97.25" bestFit="1" customWidth="1"/>
  </cols>
  <sheetData>
    <row r="1" spans="1:20" x14ac:dyDescent="0.3">
      <c r="B1">
        <v>1</v>
      </c>
      <c r="C1">
        <v>2</v>
      </c>
      <c r="D1">
        <v>3</v>
      </c>
      <c r="E1">
        <v>4</v>
      </c>
      <c r="F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20" x14ac:dyDescent="0.3">
      <c r="C2" s="1"/>
      <c r="D2" s="1"/>
      <c r="E2" s="1"/>
      <c r="F2" s="1" t="s">
        <v>20</v>
      </c>
      <c r="G2" s="1" t="s">
        <v>1109</v>
      </c>
      <c r="H2" s="45" t="s">
        <v>21</v>
      </c>
      <c r="I2" s="45"/>
      <c r="J2" s="1" t="s">
        <v>26</v>
      </c>
      <c r="K2" s="1"/>
      <c r="L2" s="1"/>
      <c r="M2" s="1"/>
      <c r="N2" s="1"/>
      <c r="O2" s="1"/>
      <c r="P2" s="1"/>
      <c r="Q2" s="1"/>
    </row>
    <row r="3" spans="1:20" x14ac:dyDescent="0.3">
      <c r="A3" s="33"/>
      <c r="B3" s="33"/>
      <c r="C3" s="34" t="s">
        <v>17</v>
      </c>
      <c r="D3" s="34" t="s">
        <v>86</v>
      </c>
      <c r="E3" s="34" t="s">
        <v>96</v>
      </c>
      <c r="F3" s="34" t="s">
        <v>19</v>
      </c>
      <c r="G3" s="34" t="s">
        <v>19</v>
      </c>
      <c r="H3" s="34" t="s">
        <v>22</v>
      </c>
      <c r="I3" s="34" t="s">
        <v>19</v>
      </c>
      <c r="J3" s="34" t="s">
        <v>19</v>
      </c>
      <c r="K3" s="34" t="s">
        <v>64</v>
      </c>
      <c r="L3" s="34" t="s">
        <v>63</v>
      </c>
      <c r="M3" s="34" t="s">
        <v>23</v>
      </c>
      <c r="N3" s="1" t="s">
        <v>1115</v>
      </c>
      <c r="O3" s="34" t="s">
        <v>1119</v>
      </c>
      <c r="P3" s="34" t="s">
        <v>1120</v>
      </c>
      <c r="Q3" s="34" t="s">
        <v>18</v>
      </c>
      <c r="R3" s="34" t="s">
        <v>1139</v>
      </c>
      <c r="S3" s="55" t="s">
        <v>1116</v>
      </c>
      <c r="T3" s="56" t="s">
        <v>1137</v>
      </c>
    </row>
    <row r="4" spans="1:20" x14ac:dyDescent="0.3">
      <c r="A4" s="34">
        <v>1</v>
      </c>
      <c r="B4" s="33" t="s">
        <v>1110</v>
      </c>
      <c r="C4" s="34"/>
      <c r="D4" s="34"/>
      <c r="E4" s="34">
        <f>SUM(F4,I4,G4,J4)</f>
        <v>5</v>
      </c>
      <c r="F4" s="34"/>
      <c r="G4" s="37">
        <v>5</v>
      </c>
      <c r="H4" s="34"/>
      <c r="I4" s="34"/>
      <c r="J4" s="34"/>
      <c r="K4" s="34"/>
      <c r="L4" s="34">
        <v>2</v>
      </c>
      <c r="M4" s="37">
        <v>1</v>
      </c>
      <c r="N4" s="1"/>
      <c r="O4" s="38" t="s">
        <v>1124</v>
      </c>
      <c r="P4" s="37" t="s">
        <v>1121</v>
      </c>
      <c r="Q4" s="34"/>
      <c r="R4" s="34"/>
      <c r="S4" s="57" t="s">
        <v>1117</v>
      </c>
      <c r="T4" s="58" t="s">
        <v>1138</v>
      </c>
    </row>
    <row r="5" spans="1:20" x14ac:dyDescent="0.3">
      <c r="A5" s="34">
        <v>2</v>
      </c>
      <c r="B5" s="35" t="s">
        <v>0</v>
      </c>
      <c r="C5" s="34">
        <v>1</v>
      </c>
      <c r="D5" s="34"/>
      <c r="E5" s="34">
        <f>SUM(F5,I5,J5)</f>
        <v>6</v>
      </c>
      <c r="F5" s="36">
        <v>6</v>
      </c>
      <c r="G5" s="34"/>
      <c r="H5" s="34" t="s">
        <v>24</v>
      </c>
      <c r="I5" s="34" t="s">
        <v>24</v>
      </c>
      <c r="J5" s="34"/>
      <c r="K5" s="34">
        <v>6</v>
      </c>
      <c r="L5" s="34"/>
      <c r="M5" s="36">
        <v>1</v>
      </c>
      <c r="N5" s="1" t="s">
        <v>1111</v>
      </c>
      <c r="O5" s="49" t="s">
        <v>1127</v>
      </c>
      <c r="P5" s="52" t="s">
        <v>1129</v>
      </c>
      <c r="Q5" s="33" t="s">
        <v>50</v>
      </c>
      <c r="R5" s="58" t="s">
        <v>1140</v>
      </c>
      <c r="S5" s="59" t="s">
        <v>1132</v>
      </c>
      <c r="T5" s="58"/>
    </row>
    <row r="6" spans="1:20" x14ac:dyDescent="0.3">
      <c r="A6" s="34">
        <v>3</v>
      </c>
      <c r="B6" s="35" t="s">
        <v>1</v>
      </c>
      <c r="C6" s="34"/>
      <c r="D6" s="34"/>
      <c r="E6" s="34">
        <f>SUM(F6,I6,J6)</f>
        <v>11</v>
      </c>
      <c r="F6" s="36">
        <v>10</v>
      </c>
      <c r="G6" s="34"/>
      <c r="H6" s="34">
        <v>1</v>
      </c>
      <c r="I6" s="36">
        <v>1</v>
      </c>
      <c r="J6" s="34"/>
      <c r="K6" s="34">
        <v>3</v>
      </c>
      <c r="L6" s="34">
        <v>1</v>
      </c>
      <c r="M6" s="34"/>
      <c r="N6" s="1" t="s">
        <v>1112</v>
      </c>
      <c r="O6" s="50"/>
      <c r="P6" s="53"/>
      <c r="Q6" s="33"/>
      <c r="R6" s="58"/>
      <c r="S6" s="59"/>
      <c r="T6" s="58"/>
    </row>
    <row r="7" spans="1:20" x14ac:dyDescent="0.3">
      <c r="A7" s="34">
        <v>4</v>
      </c>
      <c r="B7" s="35" t="s">
        <v>2</v>
      </c>
      <c r="C7" s="34">
        <v>1</v>
      </c>
      <c r="D7" s="34"/>
      <c r="E7" s="34">
        <f t="shared" ref="E7:E19" si="0">SUM(F7,I7,J7)</f>
        <v>1</v>
      </c>
      <c r="F7" s="36">
        <v>1</v>
      </c>
      <c r="G7" s="34"/>
      <c r="H7" s="34"/>
      <c r="I7" s="34"/>
      <c r="J7" s="34"/>
      <c r="K7" s="34">
        <v>1</v>
      </c>
      <c r="L7" s="34"/>
      <c r="M7" s="36">
        <v>1</v>
      </c>
      <c r="N7" s="1" t="s">
        <v>1113</v>
      </c>
      <c r="O7" s="51"/>
      <c r="P7" s="54"/>
      <c r="Q7" s="33" t="s">
        <v>50</v>
      </c>
      <c r="R7" s="58"/>
      <c r="S7" s="59"/>
      <c r="T7" s="58"/>
    </row>
    <row r="8" spans="1:20" s="48" customFormat="1" x14ac:dyDescent="0.3">
      <c r="A8" s="37">
        <v>5</v>
      </c>
      <c r="B8" s="46" t="s">
        <v>3</v>
      </c>
      <c r="C8" s="37">
        <v>1</v>
      </c>
      <c r="D8" s="37"/>
      <c r="E8" s="37">
        <f t="shared" si="0"/>
        <v>7</v>
      </c>
      <c r="F8" s="37"/>
      <c r="G8" s="37"/>
      <c r="H8" s="37">
        <v>1</v>
      </c>
      <c r="I8" s="37">
        <v>7</v>
      </c>
      <c r="J8" s="37"/>
      <c r="K8" s="37">
        <v>1</v>
      </c>
      <c r="L8" s="37">
        <v>1</v>
      </c>
      <c r="M8" s="37">
        <v>1</v>
      </c>
      <c r="N8" s="47" t="s">
        <v>1114</v>
      </c>
      <c r="O8" s="52" t="s">
        <v>1126</v>
      </c>
      <c r="P8" s="37"/>
      <c r="Q8" s="44"/>
      <c r="R8" s="60"/>
      <c r="S8" s="61"/>
      <c r="T8" s="58"/>
    </row>
    <row r="9" spans="1:20" s="48" customFormat="1" x14ac:dyDescent="0.3">
      <c r="A9" s="37">
        <v>6</v>
      </c>
      <c r="B9" s="46" t="s">
        <v>4</v>
      </c>
      <c r="C9" s="37">
        <v>1</v>
      </c>
      <c r="D9" s="37"/>
      <c r="E9" s="37">
        <f t="shared" si="0"/>
        <v>5</v>
      </c>
      <c r="F9" s="37"/>
      <c r="G9" s="37"/>
      <c r="H9" s="37">
        <v>1</v>
      </c>
      <c r="I9" s="37">
        <v>5</v>
      </c>
      <c r="J9" s="37"/>
      <c r="K9" s="37">
        <v>4</v>
      </c>
      <c r="L9" s="37">
        <v>1</v>
      </c>
      <c r="M9" s="37">
        <v>2</v>
      </c>
      <c r="N9" s="47"/>
      <c r="O9" s="53"/>
      <c r="P9" s="37"/>
      <c r="Q9" s="44"/>
      <c r="R9" s="60"/>
      <c r="S9" s="61"/>
      <c r="T9" s="58"/>
    </row>
    <row r="10" spans="1:20" s="48" customFormat="1" x14ac:dyDescent="0.3">
      <c r="A10" s="37">
        <v>7</v>
      </c>
      <c r="B10" s="46" t="s">
        <v>5</v>
      </c>
      <c r="C10" s="37">
        <v>1</v>
      </c>
      <c r="D10" s="37"/>
      <c r="E10" s="37">
        <f t="shared" si="0"/>
        <v>2</v>
      </c>
      <c r="F10" s="37"/>
      <c r="G10" s="37"/>
      <c r="H10" s="37">
        <v>1</v>
      </c>
      <c r="I10" s="37">
        <v>2</v>
      </c>
      <c r="J10" s="37"/>
      <c r="K10" s="37">
        <v>2</v>
      </c>
      <c r="L10" s="37"/>
      <c r="M10" s="37">
        <v>1</v>
      </c>
      <c r="N10" s="47"/>
      <c r="O10" s="54"/>
      <c r="P10" s="37"/>
      <c r="Q10" s="44"/>
      <c r="R10" s="60"/>
      <c r="S10" s="61"/>
      <c r="T10" s="58"/>
    </row>
    <row r="11" spans="1:20" x14ac:dyDescent="0.3">
      <c r="A11" s="34">
        <v>8</v>
      </c>
      <c r="B11" s="35" t="s">
        <v>6</v>
      </c>
      <c r="C11" s="34">
        <v>1</v>
      </c>
      <c r="D11" s="34"/>
      <c r="E11" s="34">
        <f t="shared" si="0"/>
        <v>1</v>
      </c>
      <c r="F11" s="34"/>
      <c r="G11" s="34"/>
      <c r="H11" s="34">
        <v>1</v>
      </c>
      <c r="I11" s="36">
        <v>1</v>
      </c>
      <c r="J11" s="34"/>
      <c r="K11" s="34">
        <v>1</v>
      </c>
      <c r="L11" s="34"/>
      <c r="M11" s="36">
        <v>1</v>
      </c>
      <c r="N11" s="1"/>
      <c r="O11" s="49" t="s">
        <v>1118</v>
      </c>
      <c r="P11" s="34"/>
      <c r="Q11" s="33"/>
      <c r="R11" s="55" t="s">
        <v>1141</v>
      </c>
      <c r="S11" s="57" t="s">
        <v>1131</v>
      </c>
      <c r="T11" s="58"/>
    </row>
    <row r="12" spans="1:20" x14ac:dyDescent="0.3">
      <c r="A12" s="34">
        <v>9</v>
      </c>
      <c r="B12" s="35" t="s">
        <v>7</v>
      </c>
      <c r="C12" s="34">
        <v>1</v>
      </c>
      <c r="D12" s="34">
        <v>1</v>
      </c>
      <c r="E12" s="34">
        <f t="shared" si="0"/>
        <v>30</v>
      </c>
      <c r="F12" s="34"/>
      <c r="G12" s="34"/>
      <c r="H12" s="34">
        <v>2</v>
      </c>
      <c r="I12" s="36">
        <v>30</v>
      </c>
      <c r="J12" s="34"/>
      <c r="K12" s="34">
        <v>2</v>
      </c>
      <c r="L12" s="34">
        <v>1</v>
      </c>
      <c r="M12" s="36">
        <v>1</v>
      </c>
      <c r="N12" s="1"/>
      <c r="O12" s="51"/>
      <c r="P12" s="34"/>
      <c r="Q12" s="33"/>
      <c r="R12" s="55" t="s">
        <v>1142</v>
      </c>
      <c r="S12" s="57" t="s">
        <v>1130</v>
      </c>
      <c r="T12" s="58"/>
    </row>
    <row r="13" spans="1:20" x14ac:dyDescent="0.3">
      <c r="A13" s="34">
        <v>10</v>
      </c>
      <c r="B13" s="35" t="s">
        <v>8</v>
      </c>
      <c r="C13" s="34">
        <v>1</v>
      </c>
      <c r="D13" s="34">
        <v>1</v>
      </c>
      <c r="E13" s="34">
        <f t="shared" si="0"/>
        <v>17</v>
      </c>
      <c r="F13" s="34"/>
      <c r="G13" s="34"/>
      <c r="H13" s="34">
        <v>1</v>
      </c>
      <c r="I13" s="36">
        <v>17</v>
      </c>
      <c r="J13" s="34"/>
      <c r="K13" s="34">
        <v>2</v>
      </c>
      <c r="L13" s="34">
        <v>1</v>
      </c>
      <c r="M13" s="36">
        <v>1</v>
      </c>
      <c r="N13" s="1"/>
      <c r="O13" s="49" t="s">
        <v>1128</v>
      </c>
      <c r="P13" s="34"/>
      <c r="Q13" s="33"/>
      <c r="R13" s="55" t="s">
        <v>1143</v>
      </c>
      <c r="S13" s="57" t="s">
        <v>1133</v>
      </c>
      <c r="T13" s="58"/>
    </row>
    <row r="14" spans="1:20" x14ac:dyDescent="0.3">
      <c r="A14" s="34">
        <v>11</v>
      </c>
      <c r="B14" s="35" t="s">
        <v>9</v>
      </c>
      <c r="C14" s="34">
        <v>1</v>
      </c>
      <c r="D14" s="34">
        <v>1</v>
      </c>
      <c r="E14" s="34">
        <f t="shared" si="0"/>
        <v>31</v>
      </c>
      <c r="F14" s="34"/>
      <c r="G14" s="34"/>
      <c r="H14" s="34">
        <v>3</v>
      </c>
      <c r="I14" s="36">
        <v>31</v>
      </c>
      <c r="J14" s="34"/>
      <c r="K14" s="34">
        <v>6</v>
      </c>
      <c r="L14" s="34">
        <v>2</v>
      </c>
      <c r="M14" s="36">
        <v>1</v>
      </c>
      <c r="N14" s="1"/>
      <c r="O14" s="50"/>
      <c r="P14" s="34"/>
      <c r="Q14" s="33"/>
      <c r="R14" s="55" t="s">
        <v>1144</v>
      </c>
      <c r="S14" s="57" t="s">
        <v>1134</v>
      </c>
      <c r="T14" s="58"/>
    </row>
    <row r="15" spans="1:20" x14ac:dyDescent="0.3">
      <c r="A15" s="34">
        <v>12</v>
      </c>
      <c r="B15" s="35" t="s">
        <v>10</v>
      </c>
      <c r="C15" s="34">
        <v>1</v>
      </c>
      <c r="D15" s="34">
        <v>1</v>
      </c>
      <c r="E15" s="34">
        <f t="shared" si="0"/>
        <v>2</v>
      </c>
      <c r="F15" s="34"/>
      <c r="G15" s="34"/>
      <c r="H15" s="34">
        <v>1</v>
      </c>
      <c r="I15" s="36">
        <v>2</v>
      </c>
      <c r="J15" s="34"/>
      <c r="K15" s="34">
        <v>1</v>
      </c>
      <c r="L15" s="34">
        <v>1</v>
      </c>
      <c r="M15" s="36">
        <v>1</v>
      </c>
      <c r="N15" s="1"/>
      <c r="O15" s="50"/>
      <c r="P15" s="34"/>
      <c r="Q15" s="33" t="s">
        <v>25</v>
      </c>
      <c r="R15" s="55" t="s">
        <v>1145</v>
      </c>
      <c r="S15" s="57" t="s">
        <v>1135</v>
      </c>
      <c r="T15" s="58"/>
    </row>
    <row r="16" spans="1:20" s="41" customFormat="1" x14ac:dyDescent="0.3">
      <c r="A16" s="38">
        <v>13</v>
      </c>
      <c r="B16" s="39" t="s">
        <v>11</v>
      </c>
      <c r="C16" s="38">
        <v>1</v>
      </c>
      <c r="D16" s="38">
        <v>1</v>
      </c>
      <c r="E16" s="38">
        <f t="shared" si="0"/>
        <v>3</v>
      </c>
      <c r="F16" s="38"/>
      <c r="G16" s="38"/>
      <c r="H16" s="38">
        <v>1</v>
      </c>
      <c r="I16" s="36">
        <v>3</v>
      </c>
      <c r="J16" s="38"/>
      <c r="K16" s="38">
        <v>1</v>
      </c>
      <c r="L16" s="38">
        <v>1</v>
      </c>
      <c r="M16" s="36">
        <v>1</v>
      </c>
      <c r="N16" s="40"/>
      <c r="O16" s="51"/>
      <c r="P16" s="43" t="s">
        <v>1122</v>
      </c>
      <c r="Q16" s="42"/>
      <c r="R16" s="62" t="s">
        <v>1146</v>
      </c>
      <c r="S16" s="63" t="s">
        <v>1136</v>
      </c>
      <c r="T16" s="58"/>
    </row>
    <row r="17" spans="1:20" x14ac:dyDescent="0.3">
      <c r="A17" s="34">
        <v>14</v>
      </c>
      <c r="B17" s="33" t="s">
        <v>12</v>
      </c>
      <c r="C17" s="34">
        <v>1</v>
      </c>
      <c r="D17" s="34">
        <v>1</v>
      </c>
      <c r="E17" s="34">
        <f>SUM(F17,I17,J17)</f>
        <v>14</v>
      </c>
      <c r="F17" s="34"/>
      <c r="G17" s="34"/>
      <c r="H17" s="34">
        <v>2</v>
      </c>
      <c r="I17" s="36">
        <v>10</v>
      </c>
      <c r="J17" s="36">
        <v>4</v>
      </c>
      <c r="K17" s="34">
        <v>2</v>
      </c>
      <c r="L17" s="34">
        <v>5</v>
      </c>
      <c r="M17" s="36">
        <v>1</v>
      </c>
      <c r="N17" s="1"/>
      <c r="O17" s="49" t="s">
        <v>1125</v>
      </c>
      <c r="P17" s="34"/>
      <c r="Q17" s="33"/>
      <c r="R17" s="55"/>
      <c r="S17" s="57"/>
      <c r="T17" s="58"/>
    </row>
    <row r="18" spans="1:20" x14ac:dyDescent="0.3">
      <c r="A18" s="34">
        <v>15</v>
      </c>
      <c r="B18" s="35" t="s">
        <v>13</v>
      </c>
      <c r="C18" s="34">
        <v>1</v>
      </c>
      <c r="D18" s="34">
        <v>1</v>
      </c>
      <c r="E18" s="34">
        <f t="shared" si="0"/>
        <v>9</v>
      </c>
      <c r="F18" s="34"/>
      <c r="G18" s="34"/>
      <c r="H18" s="34">
        <v>1</v>
      </c>
      <c r="I18" s="36">
        <v>9</v>
      </c>
      <c r="J18" s="34"/>
      <c r="K18" s="34">
        <v>2</v>
      </c>
      <c r="L18" s="34">
        <v>1</v>
      </c>
      <c r="M18" s="36">
        <v>1</v>
      </c>
      <c r="N18" s="1"/>
      <c r="O18" s="50"/>
      <c r="P18" s="34"/>
      <c r="Q18" s="33"/>
      <c r="R18" s="55"/>
      <c r="S18" s="57"/>
      <c r="T18" s="58"/>
    </row>
    <row r="19" spans="1:20" x14ac:dyDescent="0.3">
      <c r="A19" s="34">
        <v>16</v>
      </c>
      <c r="B19" s="33" t="s">
        <v>14</v>
      </c>
      <c r="C19" s="34">
        <v>1</v>
      </c>
      <c r="D19" s="34">
        <v>1</v>
      </c>
      <c r="E19" s="34">
        <f t="shared" si="0"/>
        <v>7</v>
      </c>
      <c r="F19" s="34"/>
      <c r="G19" s="34"/>
      <c r="H19" s="34">
        <v>2</v>
      </c>
      <c r="I19" s="36">
        <v>7</v>
      </c>
      <c r="J19" s="34"/>
      <c r="K19" s="34">
        <v>2</v>
      </c>
      <c r="L19" s="34">
        <v>2</v>
      </c>
      <c r="M19" s="36">
        <v>2</v>
      </c>
      <c r="N19" s="1"/>
      <c r="O19" s="51"/>
      <c r="P19" s="34"/>
      <c r="Q19" s="33"/>
      <c r="R19" s="55"/>
      <c r="S19" s="57"/>
      <c r="T19" s="58"/>
    </row>
    <row r="20" spans="1:20" x14ac:dyDescent="0.3">
      <c r="C20" s="1">
        <f>SUM(C5:C19)</f>
        <v>14</v>
      </c>
      <c r="D20" s="1">
        <f>SUM(D5:D19)</f>
        <v>8</v>
      </c>
      <c r="E20" s="1"/>
    </row>
    <row r="26" spans="1:20" x14ac:dyDescent="0.3">
      <c r="Q26" t="s">
        <v>1123</v>
      </c>
    </row>
  </sheetData>
  <mergeCells count="10">
    <mergeCell ref="P5:P7"/>
    <mergeCell ref="S5:S7"/>
    <mergeCell ref="T4:T19"/>
    <mergeCell ref="R5:R7"/>
    <mergeCell ref="H2:I2"/>
    <mergeCell ref="O5:O7"/>
    <mergeCell ref="O17:O19"/>
    <mergeCell ref="O13:O16"/>
    <mergeCell ref="O8:O10"/>
    <mergeCell ref="O11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FAD7-BC30-4504-835F-D405163CC248}">
  <sheetPr filterMode="1"/>
  <dimension ref="A1:O217"/>
  <sheetViews>
    <sheetView tabSelected="1" zoomScaleNormal="100" workbookViewId="0">
      <selection activeCell="M166" sqref="M166"/>
    </sheetView>
  </sheetViews>
  <sheetFormatPr defaultColWidth="9" defaultRowHeight="16.5" x14ac:dyDescent="0.3"/>
  <cols>
    <col min="1" max="1" width="13.25" style="3" customWidth="1"/>
    <col min="2" max="2" width="9" style="3"/>
    <col min="3" max="3" width="12.875" style="2" customWidth="1"/>
    <col min="4" max="4" width="5.375" style="3" customWidth="1"/>
    <col min="5" max="5" width="16.5" style="3" customWidth="1"/>
    <col min="6" max="6" width="25.125" style="3" customWidth="1"/>
    <col min="7" max="7" width="39.125" style="3" bestFit="1" customWidth="1"/>
    <col min="8" max="8" width="9.375" style="3" customWidth="1"/>
    <col min="9" max="9" width="10" style="3" customWidth="1"/>
    <col min="10" max="10" width="13.25" style="3" customWidth="1"/>
    <col min="11" max="11" width="18.875" style="2" bestFit="1" customWidth="1"/>
    <col min="12" max="12" width="13.125" style="3" customWidth="1"/>
    <col min="13" max="13" width="22" style="3" customWidth="1"/>
    <col min="14" max="14" width="14" style="3" bestFit="1" customWidth="1"/>
    <col min="15" max="16384" width="9" style="3"/>
  </cols>
  <sheetData>
    <row r="1" spans="1:15" ht="21.75" customHeight="1" x14ac:dyDescent="0.3">
      <c r="A1" s="5"/>
      <c r="B1" s="5"/>
      <c r="C1" s="5" t="s">
        <v>39</v>
      </c>
      <c r="D1" s="5" t="s">
        <v>49</v>
      </c>
      <c r="E1" s="5" t="s">
        <v>47</v>
      </c>
      <c r="F1" s="5" t="s">
        <v>40</v>
      </c>
      <c r="G1" s="5" t="s">
        <v>97</v>
      </c>
      <c r="H1" s="5" t="s">
        <v>52</v>
      </c>
      <c r="I1" s="5" t="s">
        <v>51</v>
      </c>
      <c r="J1" s="5" t="s">
        <v>153</v>
      </c>
      <c r="K1" s="5" t="s">
        <v>154</v>
      </c>
      <c r="L1" s="5" t="s">
        <v>155</v>
      </c>
      <c r="M1" s="5" t="s">
        <v>36</v>
      </c>
      <c r="N1" s="5" t="s">
        <v>156</v>
      </c>
      <c r="O1" s="5" t="s">
        <v>37</v>
      </c>
    </row>
    <row r="2" spans="1:15" ht="21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idden="1" x14ac:dyDescent="0.2">
      <c r="A3" s="3" t="s">
        <v>34</v>
      </c>
      <c r="B3" s="2" t="s">
        <v>33</v>
      </c>
      <c r="C3" s="2" t="s">
        <v>27</v>
      </c>
      <c r="D3" s="2">
        <v>1</v>
      </c>
      <c r="E3" s="4" t="s">
        <v>19</v>
      </c>
      <c r="F3" s="3" t="str">
        <f>B3&amp;"-"&amp;IF(C3="","",C3&amp;"-")&amp;IF(E3="Inverter","INV",IF(E3="Pyranometer","PRY",IF(E3="Revenue Meter","REV",IF(E3="Grid Meter","GMT","recheck"))))&amp;"-"&amp;TEXT(D3,"00")</f>
        <v>VT1-M1-INV-01</v>
      </c>
      <c r="G3" s="3" t="s">
        <v>119</v>
      </c>
      <c r="H3" s="3">
        <v>127.05</v>
      </c>
      <c r="I3" s="3" t="s">
        <v>35</v>
      </c>
      <c r="J3" s="3" t="s">
        <v>20</v>
      </c>
      <c r="K3" s="8" t="s">
        <v>356</v>
      </c>
      <c r="M3" s="3" t="s">
        <v>352</v>
      </c>
      <c r="N3" s="3">
        <v>1</v>
      </c>
      <c r="O3" s="3">
        <v>502</v>
      </c>
    </row>
    <row r="4" spans="1:15" hidden="1" x14ac:dyDescent="0.2">
      <c r="A4" s="3" t="s">
        <v>34</v>
      </c>
      <c r="B4" s="2" t="s">
        <v>33</v>
      </c>
      <c r="C4" s="2" t="s">
        <v>28</v>
      </c>
      <c r="D4" s="2">
        <v>1</v>
      </c>
      <c r="E4" s="4" t="s">
        <v>19</v>
      </c>
      <c r="F4" s="3" t="str">
        <f>B4&amp;"-"&amp;IF(C4="","",C4&amp;"-")&amp;IF(E4="Inverter","INV",IF(E4="Pyranometer","PRY",IF(E4="Revenue Meter","REV",IF(E4="Grid Meter","GMT","recheck"))))&amp;"-"&amp;TEXT(D4,"00")</f>
        <v>VT1-M2-INV-01</v>
      </c>
      <c r="G4" s="3" t="s">
        <v>120</v>
      </c>
      <c r="H4" s="3">
        <v>127.05</v>
      </c>
      <c r="I4" s="3" t="s">
        <v>35</v>
      </c>
      <c r="J4" s="3" t="s">
        <v>20</v>
      </c>
      <c r="K4" s="8" t="s">
        <v>356</v>
      </c>
      <c r="M4" s="3" t="s">
        <v>354</v>
      </c>
      <c r="N4" s="3">
        <v>1</v>
      </c>
      <c r="O4" s="3">
        <v>502</v>
      </c>
    </row>
    <row r="5" spans="1:15" hidden="1" x14ac:dyDescent="0.3">
      <c r="A5" s="3" t="s">
        <v>34</v>
      </c>
      <c r="B5" s="2" t="s">
        <v>33</v>
      </c>
      <c r="C5" s="2" t="s">
        <v>29</v>
      </c>
      <c r="D5" s="2">
        <v>1</v>
      </c>
      <c r="E5" s="4" t="s">
        <v>19</v>
      </c>
      <c r="F5" s="3" t="str">
        <f t="shared" ref="F4:F73" si="0">B5&amp;"-"&amp;IF(C5="","",C5&amp;"-")&amp;IF(E5="Inverter","INV",IF(E5="Pyranometer","PRY",IF(E5="Revenue Meter","REV",IF(E5="Grid Meter","GMT","recheck"))))&amp;"-"&amp;TEXT(D5,"00")</f>
        <v>VT1-N-INV-01</v>
      </c>
      <c r="G5" s="3" t="s">
        <v>121</v>
      </c>
      <c r="H5" s="3">
        <v>57.75</v>
      </c>
      <c r="I5" s="3" t="s">
        <v>35</v>
      </c>
      <c r="J5" s="3" t="s">
        <v>20</v>
      </c>
      <c r="K5" s="3" t="s">
        <v>357</v>
      </c>
      <c r="M5" s="3" t="s">
        <v>353</v>
      </c>
      <c r="N5" s="3">
        <v>1</v>
      </c>
      <c r="O5" s="3">
        <v>502</v>
      </c>
    </row>
    <row r="6" spans="1:15" hidden="1" x14ac:dyDescent="0.3">
      <c r="A6" s="3" t="s">
        <v>34</v>
      </c>
      <c r="B6" s="2" t="s">
        <v>33</v>
      </c>
      <c r="C6" s="2" t="s">
        <v>30</v>
      </c>
      <c r="D6" s="2">
        <v>1</v>
      </c>
      <c r="E6" s="4" t="s">
        <v>19</v>
      </c>
      <c r="F6" s="3" t="str">
        <f t="shared" si="0"/>
        <v>VT1-U-INV-01</v>
      </c>
      <c r="G6" s="3" t="s">
        <v>122</v>
      </c>
      <c r="H6" s="3">
        <v>41.58</v>
      </c>
      <c r="I6" s="3" t="s">
        <v>35</v>
      </c>
      <c r="J6" s="3" t="s">
        <v>20</v>
      </c>
      <c r="K6" s="3" t="s">
        <v>357</v>
      </c>
      <c r="M6" s="3" t="s">
        <v>334</v>
      </c>
      <c r="N6" s="3">
        <v>1</v>
      </c>
      <c r="O6" s="3">
        <v>502</v>
      </c>
    </row>
    <row r="7" spans="1:15" hidden="1" x14ac:dyDescent="0.2">
      <c r="A7" s="3" t="s">
        <v>34</v>
      </c>
      <c r="B7" s="2" t="s">
        <v>33</v>
      </c>
      <c r="C7" s="2" t="s">
        <v>31</v>
      </c>
      <c r="D7" s="2">
        <v>1</v>
      </c>
      <c r="E7" s="4" t="s">
        <v>19</v>
      </c>
      <c r="F7" s="3" t="str">
        <f t="shared" si="0"/>
        <v>VT1-CP1-INV-01</v>
      </c>
      <c r="G7" s="3" t="s">
        <v>123</v>
      </c>
      <c r="H7" s="3">
        <v>103.95</v>
      </c>
      <c r="I7" s="3" t="s">
        <v>35</v>
      </c>
      <c r="J7" s="3" t="s">
        <v>20</v>
      </c>
      <c r="K7" s="8" t="s">
        <v>356</v>
      </c>
      <c r="M7" s="3" t="s">
        <v>350</v>
      </c>
      <c r="N7" s="3">
        <v>1</v>
      </c>
      <c r="O7" s="3">
        <v>502</v>
      </c>
    </row>
    <row r="8" spans="1:15" hidden="1" x14ac:dyDescent="0.3">
      <c r="A8" s="3" t="s">
        <v>34</v>
      </c>
      <c r="B8" s="2" t="s">
        <v>33</v>
      </c>
      <c r="C8" s="2" t="s">
        <v>32</v>
      </c>
      <c r="D8" s="2">
        <v>1</v>
      </c>
      <c r="E8" s="4" t="s">
        <v>19</v>
      </c>
      <c r="F8" s="3" t="str">
        <f t="shared" si="0"/>
        <v>VT1-CP2-INV-01</v>
      </c>
      <c r="G8" s="3" t="s">
        <v>124</v>
      </c>
      <c r="H8" s="3">
        <v>48.51</v>
      </c>
      <c r="I8" s="3" t="s">
        <v>35</v>
      </c>
      <c r="J8" s="3" t="s">
        <v>20</v>
      </c>
      <c r="K8" s="3" t="s">
        <v>357</v>
      </c>
      <c r="M8" s="3" t="s">
        <v>351</v>
      </c>
      <c r="N8" s="3">
        <v>1</v>
      </c>
      <c r="O8" s="3">
        <v>502</v>
      </c>
    </row>
    <row r="9" spans="1:15" hidden="1" x14ac:dyDescent="0.3">
      <c r="A9" s="3" t="s">
        <v>34</v>
      </c>
      <c r="B9" s="2" t="s">
        <v>33</v>
      </c>
      <c r="C9" s="2" t="s">
        <v>27</v>
      </c>
      <c r="D9" s="2">
        <v>1</v>
      </c>
      <c r="E9" s="4" t="s">
        <v>64</v>
      </c>
      <c r="F9" s="3" t="str">
        <f t="shared" si="0"/>
        <v>VT1-M1-REV-01</v>
      </c>
      <c r="G9" s="3" t="s">
        <v>125</v>
      </c>
      <c r="J9" s="2" t="s">
        <v>362</v>
      </c>
      <c r="K9" s="2" t="s">
        <v>361</v>
      </c>
      <c r="L9" s="3">
        <v>219150730</v>
      </c>
      <c r="M9" s="3" t="s">
        <v>348</v>
      </c>
      <c r="N9" s="3">
        <v>5</v>
      </c>
      <c r="O9" s="3">
        <v>502</v>
      </c>
    </row>
    <row r="10" spans="1:15" hidden="1" x14ac:dyDescent="0.3">
      <c r="A10" s="3" t="s">
        <v>34</v>
      </c>
      <c r="B10" s="2" t="s">
        <v>33</v>
      </c>
      <c r="C10" s="2" t="s">
        <v>28</v>
      </c>
      <c r="D10" s="2">
        <v>1</v>
      </c>
      <c r="E10" s="4" t="s">
        <v>64</v>
      </c>
      <c r="F10" s="3" t="str">
        <f t="shared" si="0"/>
        <v>VT1-M2-REV-01</v>
      </c>
      <c r="G10" s="3" t="s">
        <v>126</v>
      </c>
      <c r="J10" s="2" t="s">
        <v>362</v>
      </c>
      <c r="K10" s="2" t="s">
        <v>361</v>
      </c>
      <c r="L10" s="3">
        <v>219150723</v>
      </c>
      <c r="M10" s="3" t="s">
        <v>359</v>
      </c>
      <c r="N10" s="3">
        <v>3</v>
      </c>
      <c r="O10" s="3">
        <v>502</v>
      </c>
    </row>
    <row r="11" spans="1:15" hidden="1" x14ac:dyDescent="0.3">
      <c r="A11" s="3" t="s">
        <v>34</v>
      </c>
      <c r="B11" s="2" t="s">
        <v>33</v>
      </c>
      <c r="C11" s="2" t="s">
        <v>65</v>
      </c>
      <c r="D11" s="2">
        <v>1</v>
      </c>
      <c r="E11" s="4" t="s">
        <v>64</v>
      </c>
      <c r="F11" s="3" t="str">
        <f t="shared" si="0"/>
        <v>VT1-V-REV-01</v>
      </c>
      <c r="G11" s="3" t="s">
        <v>365</v>
      </c>
      <c r="J11" s="2" t="s">
        <v>362</v>
      </c>
      <c r="K11" s="2" t="s">
        <v>361</v>
      </c>
      <c r="L11" s="3">
        <v>219150729</v>
      </c>
      <c r="M11" s="3" t="s">
        <v>346</v>
      </c>
      <c r="N11" s="3">
        <v>4</v>
      </c>
      <c r="O11" s="3">
        <v>502</v>
      </c>
    </row>
    <row r="12" spans="1:15" hidden="1" x14ac:dyDescent="0.3">
      <c r="A12" s="3" t="s">
        <v>34</v>
      </c>
      <c r="B12" s="2" t="s">
        <v>33</v>
      </c>
      <c r="C12" s="2" t="s">
        <v>16</v>
      </c>
      <c r="D12" s="2">
        <v>1</v>
      </c>
      <c r="E12" s="4" t="s">
        <v>64</v>
      </c>
      <c r="F12" s="3" t="str">
        <f t="shared" si="0"/>
        <v>VT1-X-REV-01</v>
      </c>
      <c r="G12" s="3" t="s">
        <v>127</v>
      </c>
      <c r="J12" s="2" t="s">
        <v>362</v>
      </c>
      <c r="K12" s="2" t="s">
        <v>361</v>
      </c>
      <c r="L12" s="3">
        <v>219150735</v>
      </c>
      <c r="M12" s="3" t="s">
        <v>347</v>
      </c>
      <c r="N12" s="3">
        <v>8</v>
      </c>
      <c r="O12" s="3">
        <v>502</v>
      </c>
    </row>
    <row r="13" spans="1:15" hidden="1" x14ac:dyDescent="0.3">
      <c r="A13" s="3" t="s">
        <v>34</v>
      </c>
      <c r="B13" s="2" t="s">
        <v>33</v>
      </c>
      <c r="C13" s="2" t="s">
        <v>29</v>
      </c>
      <c r="D13" s="2">
        <v>1</v>
      </c>
      <c r="E13" s="4" t="s">
        <v>64</v>
      </c>
      <c r="F13" s="3" t="str">
        <f t="shared" si="0"/>
        <v>VT1-N-REV-01</v>
      </c>
      <c r="G13" s="3" t="s">
        <v>364</v>
      </c>
      <c r="J13" s="2" t="s">
        <v>362</v>
      </c>
      <c r="K13" s="2" t="s">
        <v>361</v>
      </c>
      <c r="L13" s="3">
        <v>219150736</v>
      </c>
      <c r="M13" s="3" t="s">
        <v>360</v>
      </c>
      <c r="N13" s="3">
        <v>10</v>
      </c>
      <c r="O13" s="3">
        <v>502</v>
      </c>
    </row>
    <row r="14" spans="1:15" hidden="1" x14ac:dyDescent="0.3">
      <c r="A14" s="3" t="s">
        <v>34</v>
      </c>
      <c r="B14" s="2" t="s">
        <v>33</v>
      </c>
      <c r="C14" s="2" t="s">
        <v>30</v>
      </c>
      <c r="D14" s="2">
        <v>1</v>
      </c>
      <c r="E14" s="4" t="s">
        <v>64</v>
      </c>
      <c r="F14" s="3" t="str">
        <f t="shared" si="0"/>
        <v>VT1-U-REV-01</v>
      </c>
      <c r="G14" s="3" t="s">
        <v>128</v>
      </c>
      <c r="J14" s="2" t="s">
        <v>362</v>
      </c>
      <c r="K14" s="2" t="s">
        <v>361</v>
      </c>
      <c r="L14" s="3">
        <v>219150734</v>
      </c>
      <c r="M14" s="3" t="s">
        <v>332</v>
      </c>
      <c r="N14" s="3">
        <v>9</v>
      </c>
      <c r="O14" s="3">
        <v>502</v>
      </c>
    </row>
    <row r="15" spans="1:15" hidden="1" x14ac:dyDescent="0.3">
      <c r="A15" s="3" t="s">
        <v>34</v>
      </c>
      <c r="B15" s="2" t="s">
        <v>33</v>
      </c>
      <c r="C15" s="2" t="s">
        <v>277</v>
      </c>
      <c r="D15" s="2">
        <v>1</v>
      </c>
      <c r="E15" s="4" t="s">
        <v>23</v>
      </c>
      <c r="F15" s="3" t="str">
        <f t="shared" si="0"/>
        <v>VT1-V3-GMT-01</v>
      </c>
      <c r="G15" s="3" t="s">
        <v>278</v>
      </c>
      <c r="K15" s="3"/>
      <c r="M15" s="3" t="s">
        <v>333</v>
      </c>
      <c r="N15" s="3">
        <v>1</v>
      </c>
      <c r="O15" s="3">
        <v>502</v>
      </c>
    </row>
    <row r="16" spans="1:15" hidden="1" x14ac:dyDescent="0.2">
      <c r="A16" s="3" t="s">
        <v>38</v>
      </c>
      <c r="B16" s="2" t="s">
        <v>41</v>
      </c>
      <c r="C16" s="2" t="s">
        <v>42</v>
      </c>
      <c r="D16" s="2">
        <v>1</v>
      </c>
      <c r="E16" s="4" t="s">
        <v>19</v>
      </c>
      <c r="F16" s="3" t="str">
        <f t="shared" si="0"/>
        <v>VT2-M3-INV-01</v>
      </c>
      <c r="G16" s="3" t="s">
        <v>129</v>
      </c>
      <c r="H16" s="3">
        <v>110.88</v>
      </c>
      <c r="I16" s="3" t="s">
        <v>35</v>
      </c>
      <c r="J16" s="3" t="s">
        <v>20</v>
      </c>
      <c r="K16" s="8" t="s">
        <v>356</v>
      </c>
      <c r="M16" s="3" t="s">
        <v>336</v>
      </c>
      <c r="N16" s="3">
        <v>1</v>
      </c>
      <c r="O16" s="3">
        <v>502</v>
      </c>
    </row>
    <row r="17" spans="1:15" hidden="1" x14ac:dyDescent="0.3">
      <c r="A17" s="3" t="s">
        <v>38</v>
      </c>
      <c r="B17" s="2" t="s">
        <v>41</v>
      </c>
      <c r="C17" s="2" t="s">
        <v>42</v>
      </c>
      <c r="D17" s="2">
        <v>2</v>
      </c>
      <c r="E17" s="4" t="s">
        <v>19</v>
      </c>
      <c r="F17" s="3" t="str">
        <f t="shared" si="0"/>
        <v>VT2-M3-INV-02</v>
      </c>
      <c r="G17" s="3" t="s">
        <v>135</v>
      </c>
      <c r="H17" s="3">
        <v>52.8</v>
      </c>
      <c r="I17" s="3" t="s">
        <v>35</v>
      </c>
      <c r="J17" s="3" t="s">
        <v>20</v>
      </c>
      <c r="K17" s="3" t="s">
        <v>357</v>
      </c>
      <c r="M17" s="3" t="s">
        <v>337</v>
      </c>
      <c r="N17" s="3">
        <v>1</v>
      </c>
      <c r="O17" s="3">
        <v>502</v>
      </c>
    </row>
    <row r="18" spans="1:15" hidden="1" x14ac:dyDescent="0.2">
      <c r="A18" s="3" t="s">
        <v>38</v>
      </c>
      <c r="B18" s="2" t="s">
        <v>41</v>
      </c>
      <c r="C18" s="2" t="s">
        <v>43</v>
      </c>
      <c r="D18" s="2">
        <v>1</v>
      </c>
      <c r="E18" s="4" t="s">
        <v>19</v>
      </c>
      <c r="F18" s="3" t="str">
        <f t="shared" si="0"/>
        <v>VT2-M4-INV-01</v>
      </c>
      <c r="G18" s="3" t="s">
        <v>136</v>
      </c>
      <c r="H18" s="3">
        <v>98.12</v>
      </c>
      <c r="I18" s="3" t="s">
        <v>35</v>
      </c>
      <c r="J18" s="3" t="s">
        <v>20</v>
      </c>
      <c r="K18" s="8" t="s">
        <v>356</v>
      </c>
      <c r="M18" s="3" t="s">
        <v>338</v>
      </c>
      <c r="N18" s="3">
        <v>1</v>
      </c>
      <c r="O18" s="3">
        <v>502</v>
      </c>
    </row>
    <row r="19" spans="1:15" hidden="1" x14ac:dyDescent="0.2">
      <c r="A19" s="3" t="s">
        <v>38</v>
      </c>
      <c r="B19" s="2" t="s">
        <v>41</v>
      </c>
      <c r="C19" s="2" t="s">
        <v>43</v>
      </c>
      <c r="D19" s="2">
        <v>2</v>
      </c>
      <c r="E19" s="4" t="s">
        <v>19</v>
      </c>
      <c r="F19" s="3" t="str">
        <f t="shared" si="0"/>
        <v>VT2-M4-INV-02</v>
      </c>
      <c r="G19" s="3" t="s">
        <v>132</v>
      </c>
      <c r="H19" s="3">
        <v>100.76</v>
      </c>
      <c r="I19" s="3" t="s">
        <v>35</v>
      </c>
      <c r="J19" s="3" t="s">
        <v>20</v>
      </c>
      <c r="K19" s="8" t="s">
        <v>356</v>
      </c>
      <c r="M19" s="3" t="s">
        <v>339</v>
      </c>
      <c r="N19" s="3">
        <v>1</v>
      </c>
      <c r="O19" s="3">
        <v>502</v>
      </c>
    </row>
    <row r="20" spans="1:15" hidden="1" x14ac:dyDescent="0.3">
      <c r="A20" s="3" t="s">
        <v>38</v>
      </c>
      <c r="B20" s="2" t="s">
        <v>41</v>
      </c>
      <c r="C20" s="2" t="s">
        <v>29</v>
      </c>
      <c r="D20" s="2">
        <v>1</v>
      </c>
      <c r="E20" s="4" t="s">
        <v>19</v>
      </c>
      <c r="F20" s="3" t="str">
        <f>B20&amp;"-"&amp;IF(C20="","",C20&amp;"-")&amp;IF(E20="Inverter","INV",IF(E20="Pyranometer","PRY",IF(E20="Revenue Meter","REV",IF(E20="Grid Meter","GMT","recheck"))))&amp;"-"&amp;TEXT(D20,"00")</f>
        <v>VT2-N-INV-01</v>
      </c>
      <c r="G20" s="3" t="s">
        <v>133</v>
      </c>
      <c r="H20" s="3">
        <v>66</v>
      </c>
      <c r="I20" s="3" t="s">
        <v>35</v>
      </c>
      <c r="J20" s="3" t="s">
        <v>20</v>
      </c>
      <c r="K20" s="3" t="s">
        <v>357</v>
      </c>
      <c r="M20" s="3" t="s">
        <v>355</v>
      </c>
      <c r="N20" s="3">
        <v>1</v>
      </c>
      <c r="O20" s="3">
        <v>502</v>
      </c>
    </row>
    <row r="21" spans="1:15" hidden="1" x14ac:dyDescent="0.2">
      <c r="A21" s="3" t="s">
        <v>38</v>
      </c>
      <c r="B21" s="2" t="s">
        <v>41</v>
      </c>
      <c r="C21" s="2" t="s">
        <v>30</v>
      </c>
      <c r="D21" s="2">
        <v>1</v>
      </c>
      <c r="E21" s="4" t="s">
        <v>19</v>
      </c>
      <c r="F21" s="3" t="str">
        <f t="shared" si="0"/>
        <v>VT2-U-INV-01</v>
      </c>
      <c r="G21" s="3" t="s">
        <v>134</v>
      </c>
      <c r="H21" s="3">
        <v>95.04</v>
      </c>
      <c r="I21" s="3" t="s">
        <v>35</v>
      </c>
      <c r="J21" s="3" t="s">
        <v>20</v>
      </c>
      <c r="K21" s="8" t="s">
        <v>356</v>
      </c>
      <c r="M21" s="3" t="s">
        <v>335</v>
      </c>
      <c r="N21" s="3">
        <v>1</v>
      </c>
      <c r="O21" s="3">
        <v>502</v>
      </c>
    </row>
    <row r="22" spans="1:15" hidden="1" x14ac:dyDescent="0.2">
      <c r="A22" s="3" t="s">
        <v>38</v>
      </c>
      <c r="B22" s="2" t="s">
        <v>41</v>
      </c>
      <c r="C22" s="2" t="s">
        <v>44</v>
      </c>
      <c r="D22" s="2">
        <v>1</v>
      </c>
      <c r="E22" s="4" t="s">
        <v>19</v>
      </c>
      <c r="F22" s="3" t="str">
        <f t="shared" si="0"/>
        <v>VT2-K-INV-01</v>
      </c>
      <c r="G22" s="3" t="s">
        <v>130</v>
      </c>
      <c r="H22" s="3">
        <f>174.24/2</f>
        <v>87.12</v>
      </c>
      <c r="I22" s="3" t="s">
        <v>35</v>
      </c>
      <c r="J22" s="3" t="s">
        <v>20</v>
      </c>
      <c r="K22" s="8" t="s">
        <v>356</v>
      </c>
      <c r="M22" s="3" t="s">
        <v>341</v>
      </c>
      <c r="N22" s="3">
        <v>1</v>
      </c>
      <c r="O22" s="3">
        <v>502</v>
      </c>
    </row>
    <row r="23" spans="1:15" hidden="1" x14ac:dyDescent="0.2">
      <c r="A23" s="3" t="s">
        <v>38</v>
      </c>
      <c r="B23" s="2" t="s">
        <v>41</v>
      </c>
      <c r="C23" s="2" t="s">
        <v>44</v>
      </c>
      <c r="D23" s="2">
        <v>2</v>
      </c>
      <c r="E23" s="4" t="s">
        <v>19</v>
      </c>
      <c r="F23" s="3" t="str">
        <f t="shared" si="0"/>
        <v>VT2-K-INV-02</v>
      </c>
      <c r="G23" s="3" t="s">
        <v>131</v>
      </c>
      <c r="H23" s="3">
        <f>174.24/2</f>
        <v>87.12</v>
      </c>
      <c r="I23" s="3" t="s">
        <v>35</v>
      </c>
      <c r="J23" s="3" t="s">
        <v>20</v>
      </c>
      <c r="K23" s="8" t="s">
        <v>356</v>
      </c>
      <c r="M23" s="3" t="s">
        <v>342</v>
      </c>
      <c r="N23" s="3">
        <v>1</v>
      </c>
      <c r="O23" s="3">
        <v>502</v>
      </c>
    </row>
    <row r="24" spans="1:15" hidden="1" x14ac:dyDescent="0.2">
      <c r="A24" s="3" t="s">
        <v>38</v>
      </c>
      <c r="B24" s="2" t="s">
        <v>41</v>
      </c>
      <c r="C24" s="2" t="s">
        <v>45</v>
      </c>
      <c r="D24" s="2">
        <v>1</v>
      </c>
      <c r="E24" s="4" t="s">
        <v>19</v>
      </c>
      <c r="F24" s="3" t="str">
        <f t="shared" si="0"/>
        <v>VT2-FT-INV-01</v>
      </c>
      <c r="G24" s="3" t="s">
        <v>137</v>
      </c>
      <c r="H24" s="3">
        <v>102.4</v>
      </c>
      <c r="I24" s="3" t="s">
        <v>35</v>
      </c>
      <c r="J24" s="3" t="s">
        <v>20</v>
      </c>
      <c r="K24" s="8" t="s">
        <v>356</v>
      </c>
      <c r="M24" s="3" t="s">
        <v>329</v>
      </c>
      <c r="N24" s="3">
        <v>1</v>
      </c>
      <c r="O24" s="3">
        <v>502</v>
      </c>
    </row>
    <row r="25" spans="1:15" hidden="1" x14ac:dyDescent="0.3">
      <c r="A25" s="3" t="s">
        <v>38</v>
      </c>
      <c r="B25" s="2" t="s">
        <v>41</v>
      </c>
      <c r="C25" s="2" t="s">
        <v>46</v>
      </c>
      <c r="D25" s="2">
        <v>1</v>
      </c>
      <c r="E25" s="4" t="s">
        <v>19</v>
      </c>
      <c r="F25" s="3" t="str">
        <f t="shared" si="0"/>
        <v>VT2-CP-M3-INV-01</v>
      </c>
      <c r="G25" s="3" t="s">
        <v>138</v>
      </c>
      <c r="H25" s="3">
        <v>23.76</v>
      </c>
      <c r="I25" s="3" t="s">
        <v>35</v>
      </c>
      <c r="J25" s="3" t="s">
        <v>20</v>
      </c>
      <c r="K25" s="3" t="s">
        <v>357</v>
      </c>
      <c r="M25" s="3" t="s">
        <v>340</v>
      </c>
      <c r="N25" s="3">
        <v>1</v>
      </c>
      <c r="O25" s="3">
        <v>502</v>
      </c>
    </row>
    <row r="26" spans="1:15" hidden="1" x14ac:dyDescent="0.3">
      <c r="A26" s="3" t="s">
        <v>38</v>
      </c>
      <c r="B26" s="2" t="s">
        <v>41</v>
      </c>
      <c r="C26" s="2" t="s">
        <v>48</v>
      </c>
      <c r="D26" s="2">
        <v>1</v>
      </c>
      <c r="E26" s="4" t="s">
        <v>19</v>
      </c>
      <c r="F26" s="3" t="str">
        <f t="shared" si="0"/>
        <v>VT2-CP-M3M4-INV-01</v>
      </c>
      <c r="G26" s="3" t="s">
        <v>139</v>
      </c>
      <c r="H26" s="3">
        <v>60.72</v>
      </c>
      <c r="I26" s="3" t="s">
        <v>35</v>
      </c>
      <c r="J26" s="3" t="s">
        <v>21</v>
      </c>
      <c r="K26" s="3" t="s">
        <v>358</v>
      </c>
      <c r="M26" s="3" t="s">
        <v>328</v>
      </c>
      <c r="N26" s="3">
        <v>1</v>
      </c>
      <c r="O26" s="3">
        <v>502</v>
      </c>
    </row>
    <row r="27" spans="1:15" hidden="1" x14ac:dyDescent="0.3">
      <c r="A27" s="3" t="s">
        <v>38</v>
      </c>
      <c r="B27" s="2" t="s">
        <v>41</v>
      </c>
      <c r="C27" s="2" t="s">
        <v>43</v>
      </c>
      <c r="D27" s="2">
        <v>1</v>
      </c>
      <c r="E27" s="4" t="s">
        <v>63</v>
      </c>
      <c r="F27" s="3" t="str">
        <f t="shared" si="0"/>
        <v>VT2-M4-PRY-01</v>
      </c>
      <c r="G27" s="3" t="s">
        <v>140</v>
      </c>
      <c r="K27" s="3"/>
      <c r="M27" s="3" t="s">
        <v>328</v>
      </c>
      <c r="N27" s="3">
        <v>6</v>
      </c>
      <c r="O27" s="3">
        <v>502</v>
      </c>
    </row>
    <row r="28" spans="1:15" hidden="1" x14ac:dyDescent="0.3">
      <c r="A28" s="3" t="s">
        <v>38</v>
      </c>
      <c r="B28" s="2" t="s">
        <v>41</v>
      </c>
      <c r="C28" s="2" t="s">
        <v>43</v>
      </c>
      <c r="D28" s="2">
        <v>1</v>
      </c>
      <c r="E28" s="4" t="s">
        <v>64</v>
      </c>
      <c r="F28" s="3" t="str">
        <f t="shared" si="0"/>
        <v>VT2-M4-REV-01</v>
      </c>
      <c r="G28" s="3" t="s">
        <v>141</v>
      </c>
      <c r="J28" s="2" t="s">
        <v>362</v>
      </c>
      <c r="K28" s="2" t="s">
        <v>361</v>
      </c>
      <c r="L28" s="3">
        <v>219014658</v>
      </c>
      <c r="M28" s="3" t="s">
        <v>330</v>
      </c>
      <c r="N28" s="3">
        <v>15</v>
      </c>
      <c r="O28" s="3">
        <v>502</v>
      </c>
    </row>
    <row r="29" spans="1:15" hidden="1" x14ac:dyDescent="0.3">
      <c r="A29" s="3" t="s">
        <v>38</v>
      </c>
      <c r="B29" s="2" t="s">
        <v>41</v>
      </c>
      <c r="C29" s="2" t="s">
        <v>29</v>
      </c>
      <c r="D29" s="2">
        <v>1</v>
      </c>
      <c r="E29" s="4" t="s">
        <v>64</v>
      </c>
      <c r="F29" s="3" t="str">
        <f t="shared" si="0"/>
        <v>VT2-N-REV-01</v>
      </c>
      <c r="G29" s="3" t="s">
        <v>142</v>
      </c>
      <c r="J29" s="2" t="s">
        <v>362</v>
      </c>
      <c r="K29" s="2" t="s">
        <v>361</v>
      </c>
      <c r="L29" s="3">
        <v>219014662</v>
      </c>
      <c r="M29" s="3" t="s">
        <v>349</v>
      </c>
      <c r="N29" s="3">
        <v>14</v>
      </c>
      <c r="O29" s="3">
        <v>502</v>
      </c>
    </row>
    <row r="30" spans="1:15" hidden="1" x14ac:dyDescent="0.3">
      <c r="A30" s="3" t="s">
        <v>38</v>
      </c>
      <c r="B30" s="2" t="s">
        <v>41</v>
      </c>
      <c r="C30" s="2" t="s">
        <v>30</v>
      </c>
      <c r="D30" s="2">
        <v>1</v>
      </c>
      <c r="E30" s="4" t="s">
        <v>64</v>
      </c>
      <c r="F30" s="3" t="str">
        <f t="shared" si="0"/>
        <v>VT2-U-REV-01</v>
      </c>
      <c r="G30" s="3" t="s">
        <v>143</v>
      </c>
      <c r="J30" s="2" t="s">
        <v>362</v>
      </c>
      <c r="K30" s="2" t="s">
        <v>361</v>
      </c>
      <c r="L30" s="3">
        <v>219014663</v>
      </c>
      <c r="M30" s="3" t="s">
        <v>331</v>
      </c>
      <c r="N30" s="3">
        <v>13</v>
      </c>
      <c r="O30" s="3">
        <v>502</v>
      </c>
    </row>
    <row r="31" spans="1:15" hidden="1" x14ac:dyDescent="0.2">
      <c r="A31" s="3" t="s">
        <v>2</v>
      </c>
      <c r="B31" s="2" t="s">
        <v>2</v>
      </c>
      <c r="C31" s="2" t="s">
        <v>15</v>
      </c>
      <c r="D31" s="2">
        <v>1</v>
      </c>
      <c r="E31" s="4" t="s">
        <v>19</v>
      </c>
      <c r="F31" s="3" t="str">
        <f t="shared" si="0"/>
        <v>KVIS-A-INV-01</v>
      </c>
      <c r="G31" s="3" t="s">
        <v>144</v>
      </c>
      <c r="H31" s="3">
        <v>105.6</v>
      </c>
      <c r="I31" s="3" t="s">
        <v>35</v>
      </c>
      <c r="J31" s="3" t="s">
        <v>20</v>
      </c>
      <c r="K31" s="8" t="s">
        <v>356</v>
      </c>
      <c r="M31" s="3" t="s">
        <v>345</v>
      </c>
      <c r="N31" s="3">
        <v>1</v>
      </c>
      <c r="O31" s="3">
        <v>502</v>
      </c>
    </row>
    <row r="32" spans="1:15" hidden="1" x14ac:dyDescent="0.3">
      <c r="A32" s="3" t="s">
        <v>2</v>
      </c>
      <c r="B32" s="2" t="s">
        <v>2</v>
      </c>
      <c r="C32" s="2" t="s">
        <v>15</v>
      </c>
      <c r="D32" s="2">
        <v>1</v>
      </c>
      <c r="E32" s="4" t="s">
        <v>64</v>
      </c>
      <c r="F32" s="3" t="str">
        <f t="shared" si="0"/>
        <v>KVIS-A-REV-01</v>
      </c>
      <c r="G32" s="3" t="s">
        <v>145</v>
      </c>
      <c r="J32" s="2" t="s">
        <v>362</v>
      </c>
      <c r="K32" s="2" t="s">
        <v>363</v>
      </c>
      <c r="L32" s="3">
        <v>219014664</v>
      </c>
      <c r="M32" s="3" t="s">
        <v>343</v>
      </c>
      <c r="N32" s="3">
        <v>19</v>
      </c>
      <c r="O32" s="3">
        <v>502</v>
      </c>
    </row>
    <row r="33" spans="1:15" hidden="1" x14ac:dyDescent="0.3">
      <c r="A33" s="3" t="s">
        <v>2</v>
      </c>
      <c r="B33" s="2" t="s">
        <v>2</v>
      </c>
      <c r="C33" s="2" t="s">
        <v>279</v>
      </c>
      <c r="D33" s="2">
        <v>1</v>
      </c>
      <c r="E33" s="4" t="s">
        <v>23</v>
      </c>
      <c r="F33" s="3" t="str">
        <f t="shared" si="0"/>
        <v>KVIS-V4-GMT-01</v>
      </c>
      <c r="G33" s="3" t="s">
        <v>280</v>
      </c>
      <c r="K33" s="3"/>
      <c r="M33" s="3" t="s">
        <v>344</v>
      </c>
      <c r="N33" s="3">
        <v>1</v>
      </c>
      <c r="O33" s="3">
        <v>502</v>
      </c>
    </row>
    <row r="34" spans="1:15" hidden="1" x14ac:dyDescent="0.3">
      <c r="A34" s="3" t="s">
        <v>3</v>
      </c>
      <c r="B34" s="3" t="s">
        <v>53</v>
      </c>
      <c r="C34" s="2" t="s">
        <v>54</v>
      </c>
      <c r="D34" s="2">
        <v>1</v>
      </c>
      <c r="E34" s="4" t="s">
        <v>19</v>
      </c>
      <c r="F34" s="3" t="str">
        <f t="shared" si="0"/>
        <v>TO1-EBC-INV-01</v>
      </c>
      <c r="G34" s="3" t="s">
        <v>146</v>
      </c>
      <c r="I34" s="3" t="s">
        <v>35</v>
      </c>
      <c r="J34" s="3" t="s">
        <v>21</v>
      </c>
      <c r="K34" s="3" t="s">
        <v>376</v>
      </c>
      <c r="M34" s="3" t="s">
        <v>275</v>
      </c>
      <c r="N34" s="3">
        <v>7</v>
      </c>
      <c r="O34" s="3">
        <v>502</v>
      </c>
    </row>
    <row r="35" spans="1:15" hidden="1" x14ac:dyDescent="0.3">
      <c r="A35" s="3" t="s">
        <v>3</v>
      </c>
      <c r="B35" s="3" t="s">
        <v>53</v>
      </c>
      <c r="C35" s="2" t="s">
        <v>54</v>
      </c>
      <c r="D35" s="2">
        <v>2</v>
      </c>
      <c r="E35" s="4" t="s">
        <v>19</v>
      </c>
      <c r="F35" s="3" t="str">
        <f t="shared" si="0"/>
        <v>TO1-EBC-INV-02</v>
      </c>
      <c r="G35" s="3" t="s">
        <v>147</v>
      </c>
      <c r="I35" s="3" t="s">
        <v>35</v>
      </c>
      <c r="J35" s="3" t="s">
        <v>21</v>
      </c>
      <c r="K35" s="3" t="s">
        <v>376</v>
      </c>
      <c r="M35" s="3" t="s">
        <v>275</v>
      </c>
      <c r="N35" s="3">
        <v>2</v>
      </c>
      <c r="O35" s="3">
        <v>502</v>
      </c>
    </row>
    <row r="36" spans="1:15" hidden="1" x14ac:dyDescent="0.3">
      <c r="A36" s="3" t="s">
        <v>3</v>
      </c>
      <c r="B36" s="3" t="s">
        <v>53</v>
      </c>
      <c r="C36" s="2" t="s">
        <v>54</v>
      </c>
      <c r="D36" s="2">
        <v>3</v>
      </c>
      <c r="E36" s="4" t="s">
        <v>19</v>
      </c>
      <c r="F36" s="3" t="str">
        <f t="shared" si="0"/>
        <v>TO1-EBC-INV-03</v>
      </c>
      <c r="G36" s="3" t="s">
        <v>148</v>
      </c>
      <c r="I36" s="3" t="s">
        <v>35</v>
      </c>
      <c r="J36" s="3" t="s">
        <v>21</v>
      </c>
      <c r="K36" s="3" t="s">
        <v>376</v>
      </c>
      <c r="M36" s="3" t="s">
        <v>275</v>
      </c>
      <c r="N36" s="3">
        <v>4</v>
      </c>
      <c r="O36" s="3">
        <v>502</v>
      </c>
    </row>
    <row r="37" spans="1:15" hidden="1" x14ac:dyDescent="0.3">
      <c r="A37" s="3" t="s">
        <v>3</v>
      </c>
      <c r="B37" s="3" t="s">
        <v>53</v>
      </c>
      <c r="C37" s="2" t="s">
        <v>54</v>
      </c>
      <c r="D37" s="2">
        <v>4</v>
      </c>
      <c r="E37" s="4" t="s">
        <v>19</v>
      </c>
      <c r="F37" s="3" t="str">
        <f t="shared" si="0"/>
        <v>TO1-EBC-INV-04</v>
      </c>
      <c r="G37" s="3" t="s">
        <v>149</v>
      </c>
      <c r="I37" s="3" t="s">
        <v>35</v>
      </c>
      <c r="J37" s="3" t="s">
        <v>21</v>
      </c>
      <c r="K37" s="3" t="s">
        <v>376</v>
      </c>
      <c r="M37" s="3" t="s">
        <v>275</v>
      </c>
      <c r="N37" s="3">
        <v>6</v>
      </c>
      <c r="O37" s="3">
        <v>502</v>
      </c>
    </row>
    <row r="38" spans="1:15" hidden="1" x14ac:dyDescent="0.3">
      <c r="A38" s="3" t="s">
        <v>3</v>
      </c>
      <c r="B38" s="3" t="s">
        <v>53</v>
      </c>
      <c r="C38" s="2" t="s">
        <v>54</v>
      </c>
      <c r="D38" s="2">
        <v>5</v>
      </c>
      <c r="E38" s="4" t="s">
        <v>19</v>
      </c>
      <c r="F38" s="3" t="str">
        <f t="shared" si="0"/>
        <v>TO1-EBC-INV-05</v>
      </c>
      <c r="G38" s="3" t="s">
        <v>150</v>
      </c>
      <c r="I38" s="3" t="s">
        <v>35</v>
      </c>
      <c r="J38" s="3" t="s">
        <v>21</v>
      </c>
      <c r="K38" s="3" t="s">
        <v>376</v>
      </c>
      <c r="M38" s="3" t="s">
        <v>275</v>
      </c>
      <c r="N38" s="3">
        <v>5</v>
      </c>
      <c r="O38" s="3">
        <v>502</v>
      </c>
    </row>
    <row r="39" spans="1:15" hidden="1" x14ac:dyDescent="0.3">
      <c r="A39" s="3" t="s">
        <v>3</v>
      </c>
      <c r="B39" s="3" t="s">
        <v>53</v>
      </c>
      <c r="C39" s="2" t="s">
        <v>54</v>
      </c>
      <c r="D39" s="2">
        <v>6</v>
      </c>
      <c r="E39" s="4" t="s">
        <v>19</v>
      </c>
      <c r="F39" s="3" t="str">
        <f t="shared" si="0"/>
        <v>TO1-EBC-INV-06</v>
      </c>
      <c r="G39" s="3" t="s">
        <v>151</v>
      </c>
      <c r="I39" s="3" t="s">
        <v>35</v>
      </c>
      <c r="J39" s="3" t="s">
        <v>21</v>
      </c>
      <c r="K39" s="3" t="s">
        <v>376</v>
      </c>
      <c r="M39" s="3" t="s">
        <v>275</v>
      </c>
      <c r="N39" s="3">
        <v>3</v>
      </c>
      <c r="O39" s="3">
        <v>502</v>
      </c>
    </row>
    <row r="40" spans="1:15" hidden="1" x14ac:dyDescent="0.3">
      <c r="A40" s="3" t="s">
        <v>3</v>
      </c>
      <c r="B40" s="3" t="s">
        <v>53</v>
      </c>
      <c r="C40" s="2" t="s">
        <v>54</v>
      </c>
      <c r="D40" s="2">
        <v>7</v>
      </c>
      <c r="E40" s="4" t="s">
        <v>19</v>
      </c>
      <c r="F40" s="3" t="str">
        <f t="shared" si="0"/>
        <v>TO1-EBC-INV-07</v>
      </c>
      <c r="G40" s="3" t="s">
        <v>152</v>
      </c>
      <c r="I40" s="3" t="s">
        <v>35</v>
      </c>
      <c r="J40" s="3" t="s">
        <v>21</v>
      </c>
      <c r="K40" s="3" t="s">
        <v>376</v>
      </c>
      <c r="M40" s="3" t="s">
        <v>275</v>
      </c>
      <c r="N40" s="3">
        <v>1</v>
      </c>
      <c r="O40" s="3">
        <v>502</v>
      </c>
    </row>
    <row r="41" spans="1:15" hidden="1" x14ac:dyDescent="0.3">
      <c r="A41" s="3" t="s">
        <v>3</v>
      </c>
      <c r="B41" s="3" t="s">
        <v>53</v>
      </c>
      <c r="C41" s="2" t="s">
        <v>54</v>
      </c>
      <c r="D41" s="2">
        <v>1</v>
      </c>
      <c r="E41" s="4" t="s">
        <v>63</v>
      </c>
      <c r="F41" s="3" t="str">
        <f t="shared" si="0"/>
        <v>TO1-EBC-PRY-01</v>
      </c>
      <c r="G41" s="3" t="s">
        <v>63</v>
      </c>
      <c r="K41" s="3"/>
      <c r="M41" s="3" t="s">
        <v>275</v>
      </c>
      <c r="N41" s="3">
        <v>12</v>
      </c>
      <c r="O41" s="3">
        <v>502</v>
      </c>
    </row>
    <row r="42" spans="1:15" hidden="1" x14ac:dyDescent="0.3">
      <c r="A42" s="3" t="s">
        <v>4</v>
      </c>
      <c r="B42" s="3" t="s">
        <v>53</v>
      </c>
      <c r="C42" s="2" t="s">
        <v>54</v>
      </c>
      <c r="D42" s="2">
        <v>1</v>
      </c>
      <c r="E42" s="4" t="s">
        <v>64</v>
      </c>
      <c r="F42" s="3" t="str">
        <f t="shared" si="0"/>
        <v>TO1-EBC-REV-01</v>
      </c>
      <c r="G42" s="3" t="s">
        <v>64</v>
      </c>
      <c r="J42" s="2" t="s">
        <v>362</v>
      </c>
      <c r="K42" s="2" t="s">
        <v>361</v>
      </c>
      <c r="L42" s="3">
        <v>212296512</v>
      </c>
      <c r="M42" s="3" t="s">
        <v>276</v>
      </c>
      <c r="N42" s="3">
        <v>1</v>
      </c>
      <c r="O42" s="3">
        <v>9000</v>
      </c>
    </row>
    <row r="43" spans="1:15" hidden="1" x14ac:dyDescent="0.3">
      <c r="A43" s="3" t="s">
        <v>4</v>
      </c>
      <c r="B43" s="3" t="s">
        <v>53</v>
      </c>
      <c r="C43" s="2" t="s">
        <v>54</v>
      </c>
      <c r="D43" s="2">
        <v>1</v>
      </c>
      <c r="E43" s="4" t="s">
        <v>23</v>
      </c>
      <c r="F43" s="3" t="str">
        <f t="shared" si="0"/>
        <v>TO1-EBC-GMT-01</v>
      </c>
      <c r="G43" s="3" t="s">
        <v>23</v>
      </c>
      <c r="K43" s="3"/>
      <c r="M43" s="3" t="s">
        <v>275</v>
      </c>
      <c r="N43" s="3">
        <v>8</v>
      </c>
      <c r="O43" s="3">
        <v>502</v>
      </c>
    </row>
    <row r="44" spans="1:15" hidden="1" x14ac:dyDescent="0.3">
      <c r="A44" s="3" t="s">
        <v>4</v>
      </c>
      <c r="B44" s="3" t="s">
        <v>55</v>
      </c>
      <c r="D44" s="2">
        <v>1</v>
      </c>
      <c r="E44" s="4" t="s">
        <v>19</v>
      </c>
      <c r="F44" s="3" t="str">
        <f t="shared" si="0"/>
        <v>TO2-INV-01</v>
      </c>
      <c r="G44" s="3" t="s">
        <v>161</v>
      </c>
      <c r="H44" s="3">
        <v>107.46</v>
      </c>
      <c r="I44" s="3" t="s">
        <v>35</v>
      </c>
      <c r="J44" s="3" t="s">
        <v>21</v>
      </c>
      <c r="K44" s="3" t="s">
        <v>369</v>
      </c>
      <c r="M44" s="3" t="s">
        <v>291</v>
      </c>
      <c r="N44" s="3">
        <v>6</v>
      </c>
      <c r="O44" s="3">
        <v>502</v>
      </c>
    </row>
    <row r="45" spans="1:15" hidden="1" x14ac:dyDescent="0.3">
      <c r="A45" s="3" t="s">
        <v>4</v>
      </c>
      <c r="B45" s="3" t="s">
        <v>55</v>
      </c>
      <c r="D45" s="2">
        <v>2</v>
      </c>
      <c r="E45" s="4" t="s">
        <v>19</v>
      </c>
      <c r="F45" s="3" t="str">
        <f t="shared" si="0"/>
        <v>TO2-INV-02</v>
      </c>
      <c r="G45" s="3" t="s">
        <v>162</v>
      </c>
      <c r="H45" s="3">
        <v>99.9</v>
      </c>
      <c r="I45" s="3" t="s">
        <v>35</v>
      </c>
      <c r="J45" s="3" t="s">
        <v>21</v>
      </c>
      <c r="K45" s="3" t="s">
        <v>369</v>
      </c>
      <c r="M45" s="3" t="s">
        <v>291</v>
      </c>
      <c r="N45" s="3">
        <v>5</v>
      </c>
      <c r="O45" s="3">
        <v>502</v>
      </c>
    </row>
    <row r="46" spans="1:15" hidden="1" x14ac:dyDescent="0.3">
      <c r="A46" s="3" t="s">
        <v>4</v>
      </c>
      <c r="B46" s="3" t="s">
        <v>55</v>
      </c>
      <c r="D46" s="2">
        <v>3</v>
      </c>
      <c r="E46" s="4" t="s">
        <v>19</v>
      </c>
      <c r="F46" s="3" t="str">
        <f t="shared" si="0"/>
        <v>TO2-INV-03</v>
      </c>
      <c r="G46" s="3" t="s">
        <v>163</v>
      </c>
      <c r="H46" s="3">
        <v>111.78</v>
      </c>
      <c r="I46" s="3" t="s">
        <v>35</v>
      </c>
      <c r="J46" s="3" t="s">
        <v>21</v>
      </c>
      <c r="K46" s="3" t="s">
        <v>369</v>
      </c>
      <c r="M46" s="3" t="s">
        <v>291</v>
      </c>
      <c r="N46" s="3">
        <v>7</v>
      </c>
      <c r="O46" s="3">
        <v>502</v>
      </c>
    </row>
    <row r="47" spans="1:15" hidden="1" x14ac:dyDescent="0.3">
      <c r="A47" s="3" t="s">
        <v>4</v>
      </c>
      <c r="B47" s="3" t="s">
        <v>55</v>
      </c>
      <c r="D47" s="2">
        <v>4</v>
      </c>
      <c r="E47" s="4" t="s">
        <v>19</v>
      </c>
      <c r="F47" s="3" t="str">
        <f t="shared" si="0"/>
        <v>TO2-INV-04</v>
      </c>
      <c r="G47" s="3" t="s">
        <v>164</v>
      </c>
      <c r="H47" s="3">
        <v>112.86</v>
      </c>
      <c r="I47" s="3" t="s">
        <v>35</v>
      </c>
      <c r="J47" s="3" t="s">
        <v>21</v>
      </c>
      <c r="K47" s="3" t="s">
        <v>369</v>
      </c>
      <c r="M47" s="3" t="s">
        <v>291</v>
      </c>
      <c r="N47" s="3">
        <v>8</v>
      </c>
      <c r="O47" s="3">
        <v>502</v>
      </c>
    </row>
    <row r="48" spans="1:15" hidden="1" x14ac:dyDescent="0.3">
      <c r="A48" s="3" t="s">
        <v>4</v>
      </c>
      <c r="B48" s="3" t="s">
        <v>55</v>
      </c>
      <c r="D48" s="2">
        <v>5</v>
      </c>
      <c r="E48" s="4" t="s">
        <v>19</v>
      </c>
      <c r="F48" s="3" t="str">
        <f t="shared" si="0"/>
        <v>TO2-INV-05</v>
      </c>
      <c r="G48" s="3" t="s">
        <v>165</v>
      </c>
      <c r="H48" s="3">
        <v>129.6</v>
      </c>
      <c r="I48" s="3" t="s">
        <v>35</v>
      </c>
      <c r="J48" s="3" t="s">
        <v>21</v>
      </c>
      <c r="K48" s="3" t="s">
        <v>369</v>
      </c>
      <c r="M48" s="3" t="s">
        <v>291</v>
      </c>
      <c r="N48" s="3">
        <v>4</v>
      </c>
      <c r="O48" s="3">
        <v>502</v>
      </c>
    </row>
    <row r="49" spans="1:15" hidden="1" x14ac:dyDescent="0.3">
      <c r="A49" s="3" t="s">
        <v>4</v>
      </c>
      <c r="B49" s="3" t="s">
        <v>55</v>
      </c>
      <c r="D49" s="2">
        <v>1</v>
      </c>
      <c r="E49" s="4" t="s">
        <v>63</v>
      </c>
      <c r="F49" s="3" t="str">
        <f t="shared" si="0"/>
        <v>TO2-PRY-01</v>
      </c>
      <c r="G49" s="3" t="s">
        <v>157</v>
      </c>
      <c r="K49" s="3"/>
      <c r="M49" s="3" t="s">
        <v>291</v>
      </c>
      <c r="N49" s="3">
        <v>12</v>
      </c>
      <c r="O49" s="3">
        <v>502</v>
      </c>
    </row>
    <row r="50" spans="1:15" hidden="1" x14ac:dyDescent="0.3">
      <c r="A50" s="3" t="s">
        <v>4</v>
      </c>
      <c r="B50" s="3" t="s">
        <v>55</v>
      </c>
      <c r="C50" s="2" t="s">
        <v>56</v>
      </c>
      <c r="D50" s="2">
        <v>1</v>
      </c>
      <c r="E50" s="4" t="s">
        <v>64</v>
      </c>
      <c r="F50" s="3" t="str">
        <f t="shared" si="0"/>
        <v>TO2-DB1-REV-01</v>
      </c>
      <c r="G50" s="3" t="s">
        <v>158</v>
      </c>
      <c r="J50" s="2" t="s">
        <v>362</v>
      </c>
      <c r="K50" s="2" t="s">
        <v>361</v>
      </c>
      <c r="L50" s="3">
        <v>251203492</v>
      </c>
      <c r="M50" s="3" t="s">
        <v>292</v>
      </c>
      <c r="N50" s="3">
        <v>1</v>
      </c>
      <c r="O50" s="3">
        <v>502</v>
      </c>
    </row>
    <row r="51" spans="1:15" hidden="1" x14ac:dyDescent="0.3">
      <c r="A51" s="3" t="s">
        <v>4</v>
      </c>
      <c r="B51" s="3" t="s">
        <v>55</v>
      </c>
      <c r="C51" s="2" t="s">
        <v>58</v>
      </c>
      <c r="D51" s="2">
        <v>1</v>
      </c>
      <c r="E51" s="4" t="s">
        <v>64</v>
      </c>
      <c r="F51" s="3" t="str">
        <f t="shared" si="0"/>
        <v>TO2-DB2-REV-01</v>
      </c>
      <c r="G51" s="3" t="s">
        <v>159</v>
      </c>
      <c r="J51" s="2" t="s">
        <v>362</v>
      </c>
      <c r="K51" s="2" t="s">
        <v>361</v>
      </c>
      <c r="L51" s="3">
        <v>251203493</v>
      </c>
      <c r="M51" s="3" t="s">
        <v>294</v>
      </c>
      <c r="N51" s="3">
        <v>1</v>
      </c>
      <c r="O51" s="3">
        <v>502</v>
      </c>
    </row>
    <row r="52" spans="1:15" hidden="1" x14ac:dyDescent="0.3">
      <c r="A52" s="3" t="s">
        <v>4</v>
      </c>
      <c r="B52" s="3" t="s">
        <v>55</v>
      </c>
      <c r="C52" s="2" t="s">
        <v>66</v>
      </c>
      <c r="D52" s="2">
        <v>1</v>
      </c>
      <c r="E52" s="4" t="s">
        <v>64</v>
      </c>
      <c r="F52" s="3" t="str">
        <f t="shared" si="0"/>
        <v>TO2-DB3-REV-01</v>
      </c>
      <c r="G52" s="3" t="s">
        <v>166</v>
      </c>
      <c r="J52" s="2" t="s">
        <v>362</v>
      </c>
      <c r="K52" s="2" t="s">
        <v>361</v>
      </c>
      <c r="L52" s="3">
        <v>251203494</v>
      </c>
      <c r="M52" s="3" t="s">
        <v>295</v>
      </c>
      <c r="N52" s="3">
        <v>1</v>
      </c>
      <c r="O52" s="3">
        <v>502</v>
      </c>
    </row>
    <row r="53" spans="1:15" hidden="1" x14ac:dyDescent="0.3">
      <c r="A53" s="3" t="s">
        <v>4</v>
      </c>
      <c r="B53" s="3" t="s">
        <v>55</v>
      </c>
      <c r="C53" s="2" t="s">
        <v>57</v>
      </c>
      <c r="D53" s="2">
        <v>1</v>
      </c>
      <c r="E53" s="4" t="s">
        <v>64</v>
      </c>
      <c r="F53" s="3" t="str">
        <f t="shared" si="0"/>
        <v>TO2-DB4-REV-01</v>
      </c>
      <c r="G53" s="3" t="s">
        <v>160</v>
      </c>
      <c r="J53" s="2" t="s">
        <v>362</v>
      </c>
      <c r="K53" s="2" t="s">
        <v>361</v>
      </c>
      <c r="L53" s="3">
        <v>219150562</v>
      </c>
      <c r="M53" s="3" t="s">
        <v>293</v>
      </c>
      <c r="N53" s="3">
        <v>1</v>
      </c>
      <c r="O53" s="3">
        <v>502</v>
      </c>
    </row>
    <row r="54" spans="1:15" hidden="1" x14ac:dyDescent="0.3">
      <c r="A54" s="3" t="s">
        <v>4</v>
      </c>
      <c r="B54" s="3" t="s">
        <v>55</v>
      </c>
      <c r="D54" s="2">
        <v>1</v>
      </c>
      <c r="E54" s="3" t="s">
        <v>23</v>
      </c>
      <c r="F54" s="3" t="str">
        <f t="shared" si="0"/>
        <v>TO2-GMT-01</v>
      </c>
      <c r="G54" s="3" t="s">
        <v>281</v>
      </c>
      <c r="K54" s="3"/>
      <c r="M54" s="3" t="s">
        <v>291</v>
      </c>
      <c r="N54" s="3">
        <v>3</v>
      </c>
      <c r="O54" s="3">
        <v>502</v>
      </c>
    </row>
    <row r="55" spans="1:15" hidden="1" x14ac:dyDescent="0.3">
      <c r="A55" s="3" t="s">
        <v>4</v>
      </c>
      <c r="B55" s="3" t="s">
        <v>55</v>
      </c>
      <c r="D55" s="2">
        <v>2</v>
      </c>
      <c r="E55" s="3" t="s">
        <v>23</v>
      </c>
      <c r="F55" s="3" t="str">
        <f t="shared" si="0"/>
        <v>TO2-GMT-02</v>
      </c>
      <c r="G55" s="3" t="s">
        <v>282</v>
      </c>
      <c r="K55" s="3"/>
      <c r="M55" s="3" t="s">
        <v>291</v>
      </c>
      <c r="N55" s="3">
        <v>10</v>
      </c>
      <c r="O55" s="3">
        <v>502</v>
      </c>
    </row>
    <row r="56" spans="1:15" hidden="1" x14ac:dyDescent="0.3">
      <c r="A56" s="3" t="s">
        <v>59</v>
      </c>
      <c r="B56" s="3" t="s">
        <v>60</v>
      </c>
      <c r="D56" s="2">
        <v>1</v>
      </c>
      <c r="E56" s="4" t="s">
        <v>19</v>
      </c>
      <c r="F56" s="3" t="str">
        <f t="shared" si="0"/>
        <v>PTTMB-INV-01</v>
      </c>
      <c r="G56" s="3" t="s">
        <v>167</v>
      </c>
      <c r="H56" s="3">
        <v>56</v>
      </c>
      <c r="I56" s="3" t="s">
        <v>35</v>
      </c>
      <c r="J56" s="3" t="s">
        <v>21</v>
      </c>
      <c r="K56" s="3" t="s">
        <v>375</v>
      </c>
      <c r="M56" s="3" t="s">
        <v>297</v>
      </c>
      <c r="N56" s="3">
        <v>1</v>
      </c>
      <c r="O56" s="3">
        <v>502</v>
      </c>
    </row>
    <row r="57" spans="1:15" hidden="1" x14ac:dyDescent="0.3">
      <c r="A57" s="3" t="s">
        <v>59</v>
      </c>
      <c r="B57" s="3" t="s">
        <v>60</v>
      </c>
      <c r="D57" s="2">
        <v>2</v>
      </c>
      <c r="E57" s="4" t="s">
        <v>19</v>
      </c>
      <c r="F57" s="3" t="str">
        <f t="shared" si="0"/>
        <v>PTTMB-INV-02</v>
      </c>
      <c r="G57" s="3" t="s">
        <v>168</v>
      </c>
      <c r="H57" s="3">
        <v>72</v>
      </c>
      <c r="I57" s="3" t="s">
        <v>35</v>
      </c>
      <c r="J57" s="3" t="s">
        <v>21</v>
      </c>
      <c r="K57" s="3" t="s">
        <v>375</v>
      </c>
      <c r="M57" s="3" t="s">
        <v>297</v>
      </c>
      <c r="N57" s="3">
        <v>5</v>
      </c>
      <c r="O57" s="3">
        <v>502</v>
      </c>
    </row>
    <row r="58" spans="1:15" hidden="1" x14ac:dyDescent="0.3">
      <c r="A58" s="3" t="s">
        <v>59</v>
      </c>
      <c r="B58" s="3" t="s">
        <v>60</v>
      </c>
      <c r="D58" s="2">
        <v>1</v>
      </c>
      <c r="E58" s="4" t="s">
        <v>64</v>
      </c>
      <c r="F58" s="3" t="str">
        <f t="shared" si="0"/>
        <v>PTTMB-REV-01</v>
      </c>
      <c r="G58" s="3" t="s">
        <v>169</v>
      </c>
      <c r="J58" s="2" t="s">
        <v>362</v>
      </c>
      <c r="K58" s="2" t="s">
        <v>361</v>
      </c>
      <c r="L58" s="3">
        <v>251341652</v>
      </c>
      <c r="M58" s="3" t="s">
        <v>296</v>
      </c>
      <c r="N58" s="3">
        <v>1</v>
      </c>
      <c r="O58" s="3">
        <v>9000</v>
      </c>
    </row>
    <row r="59" spans="1:15" hidden="1" x14ac:dyDescent="0.3">
      <c r="A59" s="3" t="s">
        <v>59</v>
      </c>
      <c r="B59" s="3" t="s">
        <v>60</v>
      </c>
      <c r="D59" s="2">
        <v>2</v>
      </c>
      <c r="E59" s="4" t="s">
        <v>64</v>
      </c>
      <c r="F59" s="3" t="str">
        <f t="shared" si="0"/>
        <v>PTTMB-REV-02</v>
      </c>
      <c r="G59" s="3" t="s">
        <v>170</v>
      </c>
      <c r="J59" s="2" t="s">
        <v>362</v>
      </c>
      <c r="K59" s="2" t="s">
        <v>361</v>
      </c>
      <c r="L59" s="3">
        <v>251341653</v>
      </c>
      <c r="M59" s="3" t="s">
        <v>296</v>
      </c>
      <c r="N59" s="3">
        <v>2</v>
      </c>
      <c r="O59" s="3">
        <v>502</v>
      </c>
    </row>
    <row r="60" spans="1:15" hidden="1" x14ac:dyDescent="0.3">
      <c r="A60" s="3" t="s">
        <v>59</v>
      </c>
      <c r="B60" s="3" t="s">
        <v>60</v>
      </c>
      <c r="D60" s="2">
        <v>1</v>
      </c>
      <c r="E60" s="4" t="s">
        <v>23</v>
      </c>
      <c r="F60" s="3" t="str">
        <f t="shared" si="0"/>
        <v>PTTMB-GMT-01</v>
      </c>
      <c r="G60" s="3" t="s">
        <v>23</v>
      </c>
      <c r="K60" s="3"/>
      <c r="M60" s="3" t="s">
        <v>297</v>
      </c>
      <c r="N60" s="3">
        <v>4</v>
      </c>
      <c r="O60" s="3">
        <v>502</v>
      </c>
    </row>
    <row r="61" spans="1:15" hidden="1" x14ac:dyDescent="0.3">
      <c r="A61" s="3" t="s">
        <v>61</v>
      </c>
      <c r="B61" s="3" t="s">
        <v>62</v>
      </c>
      <c r="D61" s="2">
        <v>1</v>
      </c>
      <c r="E61" s="4" t="s">
        <v>19</v>
      </c>
      <c r="F61" s="3" t="str">
        <f t="shared" si="0"/>
        <v>PTTTL-INV-01</v>
      </c>
      <c r="G61" s="3" t="s">
        <v>167</v>
      </c>
      <c r="H61" s="3">
        <v>48</v>
      </c>
      <c r="I61" s="3" t="s">
        <v>35</v>
      </c>
      <c r="J61" s="3" t="s">
        <v>21</v>
      </c>
      <c r="K61" s="3" t="s">
        <v>375</v>
      </c>
      <c r="M61" s="3" t="s">
        <v>297</v>
      </c>
      <c r="N61" s="3">
        <v>1</v>
      </c>
      <c r="O61" s="3">
        <v>502</v>
      </c>
    </row>
    <row r="62" spans="1:15" hidden="1" x14ac:dyDescent="0.3">
      <c r="A62" s="3" t="s">
        <v>61</v>
      </c>
      <c r="B62" s="3" t="s">
        <v>62</v>
      </c>
      <c r="D62" s="3">
        <v>1</v>
      </c>
      <c r="E62" s="4" t="s">
        <v>64</v>
      </c>
      <c r="F62" s="3" t="str">
        <f t="shared" si="0"/>
        <v>PTTTL-REV-01</v>
      </c>
      <c r="G62" s="3" t="s">
        <v>169</v>
      </c>
      <c r="J62" s="2" t="s">
        <v>366</v>
      </c>
      <c r="K62" s="2" t="s">
        <v>367</v>
      </c>
      <c r="L62" s="3">
        <v>9010563</v>
      </c>
      <c r="M62" s="3" t="s">
        <v>298</v>
      </c>
      <c r="N62" s="3">
        <v>163</v>
      </c>
      <c r="O62" s="3">
        <v>502</v>
      </c>
    </row>
    <row r="63" spans="1:15" hidden="1" x14ac:dyDescent="0.3">
      <c r="A63" s="3" t="s">
        <v>61</v>
      </c>
      <c r="B63" s="3" t="s">
        <v>62</v>
      </c>
      <c r="D63" s="3">
        <v>1</v>
      </c>
      <c r="E63" s="4" t="s">
        <v>23</v>
      </c>
      <c r="F63" s="3" t="str">
        <f t="shared" si="0"/>
        <v>PTTTL-GMT-01</v>
      </c>
      <c r="G63" s="3" t="s">
        <v>23</v>
      </c>
      <c r="K63" s="3"/>
      <c r="M63" s="3" t="s">
        <v>297</v>
      </c>
      <c r="N63" s="3">
        <v>2</v>
      </c>
      <c r="O63" s="3">
        <v>502</v>
      </c>
    </row>
    <row r="64" spans="1:15" hidden="1" x14ac:dyDescent="0.3">
      <c r="A64" s="3" t="s">
        <v>7</v>
      </c>
      <c r="B64" s="3" t="s">
        <v>7</v>
      </c>
      <c r="C64" s="2" t="s">
        <v>67</v>
      </c>
      <c r="D64" s="3">
        <v>1</v>
      </c>
      <c r="E64" s="3" t="s">
        <v>19</v>
      </c>
      <c r="F64" s="3" t="str">
        <f t="shared" si="0"/>
        <v>AICA-DC-INV-01</v>
      </c>
      <c r="G64" s="3" t="s">
        <v>171</v>
      </c>
      <c r="H64" s="3">
        <v>127.53</v>
      </c>
      <c r="I64" s="3" t="s">
        <v>35</v>
      </c>
      <c r="J64" s="3" t="s">
        <v>21</v>
      </c>
      <c r="K64" s="3" t="s">
        <v>369</v>
      </c>
      <c r="M64" s="3" t="s">
        <v>303</v>
      </c>
      <c r="N64" s="3">
        <v>28</v>
      </c>
      <c r="O64" s="3">
        <v>502</v>
      </c>
    </row>
    <row r="65" spans="1:15" hidden="1" x14ac:dyDescent="0.3">
      <c r="A65" s="3" t="s">
        <v>7</v>
      </c>
      <c r="B65" s="3" t="s">
        <v>7</v>
      </c>
      <c r="C65" s="2" t="s">
        <v>67</v>
      </c>
      <c r="D65" s="3">
        <v>2</v>
      </c>
      <c r="E65" s="3" t="s">
        <v>19</v>
      </c>
      <c r="F65" s="3" t="str">
        <f>B65&amp;"-"&amp;IF(C65="","",C65&amp;"-")&amp;IF(E65="Inverter","INV",IF(E65="Pyranometer","PRY",IF(E65="Revenue Meter","REV",IF(E65="Grid Meter","GMT","recheck"))))&amp;"-"&amp;TEXT(D65,"00")</f>
        <v>AICA-DC-INV-02</v>
      </c>
      <c r="G65" s="3" t="s">
        <v>172</v>
      </c>
      <c r="H65" s="3">
        <v>127.53</v>
      </c>
      <c r="I65" s="3" t="s">
        <v>35</v>
      </c>
      <c r="J65" s="3" t="s">
        <v>21</v>
      </c>
      <c r="K65" s="3" t="s">
        <v>369</v>
      </c>
      <c r="M65" s="3" t="s">
        <v>303</v>
      </c>
      <c r="N65" s="3">
        <v>27</v>
      </c>
      <c r="O65" s="3">
        <v>502</v>
      </c>
    </row>
    <row r="66" spans="1:15" hidden="1" x14ac:dyDescent="0.3">
      <c r="A66" s="3" t="s">
        <v>7</v>
      </c>
      <c r="B66" s="3" t="s">
        <v>7</v>
      </c>
      <c r="C66" s="2" t="s">
        <v>67</v>
      </c>
      <c r="D66" s="3">
        <v>3</v>
      </c>
      <c r="E66" s="3" t="s">
        <v>19</v>
      </c>
      <c r="F66" s="3" t="str">
        <f t="shared" si="0"/>
        <v>AICA-DC-INV-03</v>
      </c>
      <c r="G66" s="3" t="s">
        <v>173</v>
      </c>
      <c r="H66" s="3">
        <v>123.17</v>
      </c>
      <c r="I66" s="3" t="s">
        <v>35</v>
      </c>
      <c r="J66" s="3" t="s">
        <v>21</v>
      </c>
      <c r="K66" s="3" t="s">
        <v>369</v>
      </c>
      <c r="M66" s="3" t="s">
        <v>303</v>
      </c>
      <c r="N66" s="3">
        <v>26</v>
      </c>
      <c r="O66" s="3">
        <v>502</v>
      </c>
    </row>
    <row r="67" spans="1:15" hidden="1" x14ac:dyDescent="0.3">
      <c r="A67" s="3" t="s">
        <v>7</v>
      </c>
      <c r="B67" s="3" t="s">
        <v>7</v>
      </c>
      <c r="C67" s="2" t="s">
        <v>67</v>
      </c>
      <c r="D67" s="3">
        <v>4</v>
      </c>
      <c r="E67" s="3" t="s">
        <v>19</v>
      </c>
      <c r="F67" s="3" t="str">
        <f t="shared" si="0"/>
        <v>AICA-DC-INV-04</v>
      </c>
      <c r="G67" s="3" t="s">
        <v>174</v>
      </c>
      <c r="H67" s="3">
        <v>127.53</v>
      </c>
      <c r="I67" s="3" t="s">
        <v>35</v>
      </c>
      <c r="J67" s="3" t="s">
        <v>21</v>
      </c>
      <c r="K67" s="3" t="s">
        <v>369</v>
      </c>
      <c r="M67" s="3" t="s">
        <v>303</v>
      </c>
      <c r="N67" s="3">
        <v>25</v>
      </c>
      <c r="O67" s="3">
        <v>502</v>
      </c>
    </row>
    <row r="68" spans="1:15" hidden="1" x14ac:dyDescent="0.3">
      <c r="A68" s="3" t="s">
        <v>7</v>
      </c>
      <c r="B68" s="3" t="s">
        <v>7</v>
      </c>
      <c r="C68" s="2" t="s">
        <v>67</v>
      </c>
      <c r="D68" s="3">
        <v>5</v>
      </c>
      <c r="E68" s="3" t="s">
        <v>19</v>
      </c>
      <c r="F68" s="3" t="str">
        <f t="shared" si="0"/>
        <v>AICA-DC-INV-05</v>
      </c>
      <c r="G68" s="3" t="s">
        <v>175</v>
      </c>
      <c r="H68" s="3">
        <v>125.35</v>
      </c>
      <c r="I68" s="3" t="s">
        <v>35</v>
      </c>
      <c r="J68" s="3" t="s">
        <v>21</v>
      </c>
      <c r="K68" s="3" t="s">
        <v>369</v>
      </c>
      <c r="M68" s="3" t="s">
        <v>303</v>
      </c>
      <c r="N68" s="3">
        <v>24</v>
      </c>
      <c r="O68" s="3">
        <v>502</v>
      </c>
    </row>
    <row r="69" spans="1:15" hidden="1" x14ac:dyDescent="0.3">
      <c r="A69" s="3" t="s">
        <v>7</v>
      </c>
      <c r="B69" s="3" t="s">
        <v>7</v>
      </c>
      <c r="C69" s="2" t="s">
        <v>67</v>
      </c>
      <c r="D69" s="3">
        <v>6</v>
      </c>
      <c r="E69" s="3" t="s">
        <v>19</v>
      </c>
      <c r="F69" s="3" t="str">
        <f t="shared" si="0"/>
        <v>AICA-DC-INV-06</v>
      </c>
      <c r="G69" s="3" t="s">
        <v>176</v>
      </c>
      <c r="H69" s="3">
        <v>120.99</v>
      </c>
      <c r="I69" s="3" t="s">
        <v>35</v>
      </c>
      <c r="J69" s="3" t="s">
        <v>21</v>
      </c>
      <c r="K69" s="3" t="s">
        <v>369</v>
      </c>
      <c r="M69" s="3" t="s">
        <v>303</v>
      </c>
      <c r="N69" s="3">
        <v>23</v>
      </c>
      <c r="O69" s="3">
        <v>502</v>
      </c>
    </row>
    <row r="70" spans="1:15" hidden="1" x14ac:dyDescent="0.3">
      <c r="A70" s="3" t="s">
        <v>7</v>
      </c>
      <c r="B70" s="3" t="s">
        <v>7</v>
      </c>
      <c r="C70" s="2" t="s">
        <v>67</v>
      </c>
      <c r="D70" s="3">
        <v>7</v>
      </c>
      <c r="E70" s="3" t="s">
        <v>19</v>
      </c>
      <c r="F70" s="3" t="str">
        <f t="shared" si="0"/>
        <v>AICA-DC-INV-07</v>
      </c>
      <c r="G70" s="3" t="s">
        <v>177</v>
      </c>
      <c r="H70" s="3">
        <v>127.53</v>
      </c>
      <c r="I70" s="3" t="s">
        <v>35</v>
      </c>
      <c r="J70" s="3" t="s">
        <v>21</v>
      </c>
      <c r="K70" s="3" t="s">
        <v>369</v>
      </c>
      <c r="M70" s="3" t="s">
        <v>303</v>
      </c>
      <c r="N70" s="3">
        <v>22</v>
      </c>
      <c r="O70" s="3">
        <v>502</v>
      </c>
    </row>
    <row r="71" spans="1:15" hidden="1" x14ac:dyDescent="0.3">
      <c r="A71" s="3" t="s">
        <v>7</v>
      </c>
      <c r="B71" s="3" t="s">
        <v>7</v>
      </c>
      <c r="C71" s="2" t="s">
        <v>67</v>
      </c>
      <c r="D71" s="3">
        <v>8</v>
      </c>
      <c r="E71" s="3" t="s">
        <v>19</v>
      </c>
      <c r="F71" s="3" t="str">
        <f t="shared" si="0"/>
        <v>AICA-DC-INV-08</v>
      </c>
      <c r="G71" s="3" t="s">
        <v>178</v>
      </c>
      <c r="H71" s="3">
        <v>123.17</v>
      </c>
      <c r="I71" s="3" t="s">
        <v>35</v>
      </c>
      <c r="J71" s="3" t="s">
        <v>21</v>
      </c>
      <c r="K71" s="3" t="s">
        <v>369</v>
      </c>
      <c r="M71" s="3" t="s">
        <v>303</v>
      </c>
      <c r="N71" s="3">
        <v>21</v>
      </c>
      <c r="O71" s="3">
        <v>502</v>
      </c>
    </row>
    <row r="72" spans="1:15" hidden="1" x14ac:dyDescent="0.3">
      <c r="A72" s="3" t="s">
        <v>7</v>
      </c>
      <c r="B72" s="3" t="s">
        <v>7</v>
      </c>
      <c r="C72" s="2" t="s">
        <v>67</v>
      </c>
      <c r="D72" s="3">
        <v>9</v>
      </c>
      <c r="E72" s="3" t="s">
        <v>19</v>
      </c>
      <c r="F72" s="3" t="str">
        <f t="shared" si="0"/>
        <v>AICA-DC-INV-09</v>
      </c>
      <c r="G72" s="3" t="s">
        <v>179</v>
      </c>
      <c r="H72" s="3">
        <v>127.53</v>
      </c>
      <c r="I72" s="3" t="s">
        <v>35</v>
      </c>
      <c r="J72" s="3" t="s">
        <v>21</v>
      </c>
      <c r="K72" s="3" t="s">
        <v>369</v>
      </c>
      <c r="M72" s="3" t="s">
        <v>302</v>
      </c>
      <c r="N72" s="3">
        <v>14</v>
      </c>
      <c r="O72" s="3">
        <v>502</v>
      </c>
    </row>
    <row r="73" spans="1:15" hidden="1" x14ac:dyDescent="0.3">
      <c r="A73" s="3" t="s">
        <v>7</v>
      </c>
      <c r="B73" s="3" t="s">
        <v>7</v>
      </c>
      <c r="C73" s="2" t="s">
        <v>67</v>
      </c>
      <c r="D73" s="3">
        <v>10</v>
      </c>
      <c r="E73" s="3" t="s">
        <v>19</v>
      </c>
      <c r="F73" s="3" t="str">
        <f t="shared" si="0"/>
        <v>AICA-DC-INV-10</v>
      </c>
      <c r="G73" s="3" t="s">
        <v>180</v>
      </c>
      <c r="H73" s="3">
        <v>132.97999999999999</v>
      </c>
      <c r="I73" s="3" t="s">
        <v>35</v>
      </c>
      <c r="J73" s="3" t="s">
        <v>21</v>
      </c>
      <c r="K73" s="3" t="s">
        <v>369</v>
      </c>
      <c r="M73" s="3" t="s">
        <v>303</v>
      </c>
      <c r="N73" s="3">
        <v>19</v>
      </c>
      <c r="O73" s="3">
        <v>502</v>
      </c>
    </row>
    <row r="74" spans="1:15" hidden="1" x14ac:dyDescent="0.3">
      <c r="A74" s="3" t="s">
        <v>7</v>
      </c>
      <c r="B74" s="3" t="s">
        <v>7</v>
      </c>
      <c r="C74" s="2" t="s">
        <v>67</v>
      </c>
      <c r="D74" s="3">
        <v>11</v>
      </c>
      <c r="E74" s="3" t="s">
        <v>19</v>
      </c>
      <c r="F74" s="3" t="str">
        <f t="shared" ref="F74:F139" si="1">B74&amp;"-"&amp;IF(C74="","",C74&amp;"-")&amp;IF(E74="Inverter","INV",IF(E74="Pyranometer","PRY",IF(E74="Revenue Meter","REV",IF(E74="Grid Meter","GMT","recheck"))))&amp;"-"&amp;TEXT(D74,"00")</f>
        <v>AICA-DC-INV-11</v>
      </c>
      <c r="G74" s="3" t="s">
        <v>181</v>
      </c>
      <c r="H74" s="3">
        <v>127.53</v>
      </c>
      <c r="I74" s="3" t="s">
        <v>35</v>
      </c>
      <c r="J74" s="3" t="s">
        <v>21</v>
      </c>
      <c r="K74" s="3" t="s">
        <v>369</v>
      </c>
      <c r="M74" s="3" t="s">
        <v>302</v>
      </c>
      <c r="N74" s="3">
        <v>8</v>
      </c>
      <c r="O74" s="3">
        <v>502</v>
      </c>
    </row>
    <row r="75" spans="1:15" hidden="1" x14ac:dyDescent="0.3">
      <c r="A75" s="3" t="s">
        <v>7</v>
      </c>
      <c r="B75" s="3" t="s">
        <v>7</v>
      </c>
      <c r="C75" s="2" t="s">
        <v>67</v>
      </c>
      <c r="D75" s="3">
        <v>12</v>
      </c>
      <c r="E75" s="3" t="s">
        <v>19</v>
      </c>
      <c r="F75" s="3" t="str">
        <f t="shared" si="1"/>
        <v>AICA-DC-INV-12</v>
      </c>
      <c r="G75" s="3" t="s">
        <v>182</v>
      </c>
      <c r="H75" s="3">
        <v>125.35</v>
      </c>
      <c r="I75" s="3" t="s">
        <v>35</v>
      </c>
      <c r="J75" s="3" t="s">
        <v>21</v>
      </c>
      <c r="K75" s="3" t="s">
        <v>369</v>
      </c>
      <c r="M75" s="3" t="s">
        <v>303</v>
      </c>
      <c r="N75" s="3">
        <v>17</v>
      </c>
      <c r="O75" s="3">
        <v>502</v>
      </c>
    </row>
    <row r="76" spans="1:15" hidden="1" x14ac:dyDescent="0.3">
      <c r="A76" s="3" t="s">
        <v>7</v>
      </c>
      <c r="B76" s="3" t="s">
        <v>7</v>
      </c>
      <c r="C76" s="2" t="s">
        <v>67</v>
      </c>
      <c r="D76" s="3">
        <v>13</v>
      </c>
      <c r="E76" s="3" t="s">
        <v>19</v>
      </c>
      <c r="F76" s="3" t="str">
        <f t="shared" si="1"/>
        <v>AICA-DC-INV-13</v>
      </c>
      <c r="G76" s="3" t="s">
        <v>183</v>
      </c>
      <c r="H76" s="3">
        <v>127.53</v>
      </c>
      <c r="I76" s="3" t="s">
        <v>35</v>
      </c>
      <c r="J76" s="3" t="s">
        <v>21</v>
      </c>
      <c r="K76" s="3" t="s">
        <v>369</v>
      </c>
      <c r="M76" s="3" t="s">
        <v>302</v>
      </c>
      <c r="N76" s="3">
        <v>2</v>
      </c>
      <c r="O76" s="3">
        <v>502</v>
      </c>
    </row>
    <row r="77" spans="1:15" hidden="1" x14ac:dyDescent="0.3">
      <c r="A77" s="3" t="s">
        <v>7</v>
      </c>
      <c r="B77" s="3" t="s">
        <v>7</v>
      </c>
      <c r="C77" s="2" t="s">
        <v>67</v>
      </c>
      <c r="D77" s="3">
        <v>14</v>
      </c>
      <c r="E77" s="3" t="s">
        <v>19</v>
      </c>
      <c r="F77" s="3" t="str">
        <f t="shared" si="1"/>
        <v>AICA-DC-INV-14</v>
      </c>
      <c r="G77" s="3" t="s">
        <v>184</v>
      </c>
      <c r="H77" s="3">
        <v>132.97999999999999</v>
      </c>
      <c r="I77" s="3" t="s">
        <v>35</v>
      </c>
      <c r="J77" s="3" t="s">
        <v>21</v>
      </c>
      <c r="K77" s="3" t="s">
        <v>369</v>
      </c>
      <c r="M77" s="3" t="s">
        <v>303</v>
      </c>
      <c r="N77" s="3">
        <v>15</v>
      </c>
      <c r="O77" s="3">
        <v>502</v>
      </c>
    </row>
    <row r="78" spans="1:15" hidden="1" x14ac:dyDescent="0.3">
      <c r="A78" s="3" t="s">
        <v>7</v>
      </c>
      <c r="B78" s="3" t="s">
        <v>7</v>
      </c>
      <c r="C78" s="2" t="s">
        <v>67</v>
      </c>
      <c r="D78" s="3">
        <v>15</v>
      </c>
      <c r="E78" s="3" t="s">
        <v>19</v>
      </c>
      <c r="F78" s="3" t="str">
        <f t="shared" si="1"/>
        <v>AICA-DC-INV-15</v>
      </c>
      <c r="G78" s="3" t="s">
        <v>185</v>
      </c>
      <c r="H78" s="3">
        <v>132.435</v>
      </c>
      <c r="I78" s="3" t="s">
        <v>35</v>
      </c>
      <c r="J78" s="3" t="s">
        <v>21</v>
      </c>
      <c r="K78" s="3" t="s">
        <v>369</v>
      </c>
      <c r="M78" s="3" t="s">
        <v>302</v>
      </c>
      <c r="N78" s="3">
        <v>13</v>
      </c>
      <c r="O78" s="3">
        <v>502</v>
      </c>
    </row>
    <row r="79" spans="1:15" hidden="1" x14ac:dyDescent="0.3">
      <c r="A79" s="3" t="s">
        <v>7</v>
      </c>
      <c r="B79" s="3" t="s">
        <v>7</v>
      </c>
      <c r="C79" s="2" t="s">
        <v>67</v>
      </c>
      <c r="D79" s="3">
        <v>16</v>
      </c>
      <c r="E79" s="3" t="s">
        <v>19</v>
      </c>
      <c r="F79" s="3" t="str">
        <f t="shared" si="1"/>
        <v>AICA-DC-INV-16</v>
      </c>
      <c r="G79" s="3" t="s">
        <v>186</v>
      </c>
      <c r="H79" s="3">
        <v>127.53</v>
      </c>
      <c r="I79" s="3" t="s">
        <v>35</v>
      </c>
      <c r="J79" s="3" t="s">
        <v>21</v>
      </c>
      <c r="K79" s="3" t="s">
        <v>369</v>
      </c>
      <c r="M79" s="3" t="s">
        <v>303</v>
      </c>
      <c r="N79" s="3">
        <v>13</v>
      </c>
      <c r="O79" s="3">
        <v>502</v>
      </c>
    </row>
    <row r="80" spans="1:15" hidden="1" x14ac:dyDescent="0.3">
      <c r="A80" s="3" t="s">
        <v>7</v>
      </c>
      <c r="B80" s="3" t="s">
        <v>7</v>
      </c>
      <c r="C80" s="2" t="s">
        <v>67</v>
      </c>
      <c r="D80" s="3">
        <v>17</v>
      </c>
      <c r="E80" s="3" t="s">
        <v>19</v>
      </c>
      <c r="F80" s="3" t="str">
        <f t="shared" si="1"/>
        <v>AICA-DC-INV-17</v>
      </c>
      <c r="G80" s="3" t="s">
        <v>187</v>
      </c>
      <c r="H80" s="3">
        <v>127.53</v>
      </c>
      <c r="I80" s="3" t="s">
        <v>35</v>
      </c>
      <c r="J80" s="3" t="s">
        <v>21</v>
      </c>
      <c r="K80" s="3" t="s">
        <v>369</v>
      </c>
      <c r="M80" s="3" t="s">
        <v>302</v>
      </c>
      <c r="N80" s="3">
        <v>4</v>
      </c>
      <c r="O80" s="3">
        <v>502</v>
      </c>
    </row>
    <row r="81" spans="1:15" hidden="1" x14ac:dyDescent="0.3">
      <c r="A81" s="3" t="s">
        <v>7</v>
      </c>
      <c r="B81" s="3" t="s">
        <v>7</v>
      </c>
      <c r="C81" s="2" t="s">
        <v>67</v>
      </c>
      <c r="D81" s="3">
        <v>18</v>
      </c>
      <c r="E81" s="3" t="s">
        <v>19</v>
      </c>
      <c r="F81" s="3" t="str">
        <f t="shared" si="1"/>
        <v>AICA-DC-INV-18</v>
      </c>
      <c r="G81" s="3" t="s">
        <v>188</v>
      </c>
      <c r="H81" s="3">
        <v>133.52500000000001</v>
      </c>
      <c r="I81" s="3" t="s">
        <v>35</v>
      </c>
      <c r="J81" s="3" t="s">
        <v>21</v>
      </c>
      <c r="K81" s="3" t="s">
        <v>369</v>
      </c>
      <c r="M81" s="3" t="s">
        <v>303</v>
      </c>
      <c r="N81" s="3">
        <v>11</v>
      </c>
      <c r="O81" s="3">
        <v>502</v>
      </c>
    </row>
    <row r="82" spans="1:15" hidden="1" x14ac:dyDescent="0.3">
      <c r="A82" s="3" t="s">
        <v>7</v>
      </c>
      <c r="B82" s="3" t="s">
        <v>7</v>
      </c>
      <c r="C82" s="2" t="s">
        <v>67</v>
      </c>
      <c r="D82" s="3">
        <v>19</v>
      </c>
      <c r="E82" s="3" t="s">
        <v>19</v>
      </c>
      <c r="F82" s="3" t="str">
        <f t="shared" si="1"/>
        <v>AICA-DC-INV-19</v>
      </c>
      <c r="G82" s="3" t="s">
        <v>189</v>
      </c>
      <c r="H82" s="3">
        <v>132.97999999999999</v>
      </c>
      <c r="I82" s="3" t="s">
        <v>35</v>
      </c>
      <c r="J82" s="3" t="s">
        <v>21</v>
      </c>
      <c r="K82" s="3" t="s">
        <v>369</v>
      </c>
      <c r="M82" s="3" t="s">
        <v>302</v>
      </c>
      <c r="N82" s="3">
        <v>3</v>
      </c>
      <c r="O82" s="3">
        <v>502</v>
      </c>
    </row>
    <row r="83" spans="1:15" hidden="1" x14ac:dyDescent="0.3">
      <c r="A83" s="3" t="s">
        <v>7</v>
      </c>
      <c r="B83" s="3" t="s">
        <v>7</v>
      </c>
      <c r="C83" s="2" t="s">
        <v>67</v>
      </c>
      <c r="D83" s="3">
        <v>20</v>
      </c>
      <c r="E83" s="3" t="s">
        <v>19</v>
      </c>
      <c r="F83" s="3" t="str">
        <f t="shared" si="1"/>
        <v>AICA-DC-INV-20</v>
      </c>
      <c r="G83" s="3" t="s">
        <v>190</v>
      </c>
      <c r="H83" s="3">
        <v>137.34</v>
      </c>
      <c r="I83" s="3" t="s">
        <v>35</v>
      </c>
      <c r="J83" s="3" t="s">
        <v>21</v>
      </c>
      <c r="K83" s="3" t="s">
        <v>369</v>
      </c>
      <c r="M83" s="3" t="s">
        <v>303</v>
      </c>
      <c r="N83" s="3">
        <v>9</v>
      </c>
      <c r="O83" s="3">
        <v>502</v>
      </c>
    </row>
    <row r="84" spans="1:15" hidden="1" x14ac:dyDescent="0.3">
      <c r="A84" s="3" t="s">
        <v>7</v>
      </c>
      <c r="B84" s="3" t="s">
        <v>7</v>
      </c>
      <c r="C84" s="2" t="s">
        <v>67</v>
      </c>
      <c r="D84" s="3">
        <v>21</v>
      </c>
      <c r="E84" s="3" t="s">
        <v>19</v>
      </c>
      <c r="F84" s="3" t="str">
        <f t="shared" si="1"/>
        <v>AICA-DC-INV-21</v>
      </c>
      <c r="G84" s="3" t="s">
        <v>191</v>
      </c>
      <c r="H84" s="3">
        <v>127.53</v>
      </c>
      <c r="I84" s="3" t="s">
        <v>35</v>
      </c>
      <c r="J84" s="3" t="s">
        <v>21</v>
      </c>
      <c r="K84" s="3" t="s">
        <v>369</v>
      </c>
      <c r="M84" s="3" t="s">
        <v>302</v>
      </c>
      <c r="N84" s="3">
        <v>11</v>
      </c>
      <c r="O84" s="3">
        <v>502</v>
      </c>
    </row>
    <row r="85" spans="1:15" hidden="1" x14ac:dyDescent="0.3">
      <c r="A85" s="3" t="s">
        <v>7</v>
      </c>
      <c r="B85" s="3" t="s">
        <v>7</v>
      </c>
      <c r="C85" s="2" t="s">
        <v>67</v>
      </c>
      <c r="D85" s="3">
        <v>22</v>
      </c>
      <c r="E85" s="3" t="s">
        <v>19</v>
      </c>
      <c r="F85" s="3" t="str">
        <f t="shared" si="1"/>
        <v>AICA-DC-INV-22</v>
      </c>
      <c r="G85" s="3" t="s">
        <v>192</v>
      </c>
      <c r="H85" s="3">
        <v>134.07</v>
      </c>
      <c r="I85" s="3" t="s">
        <v>35</v>
      </c>
      <c r="J85" s="3" t="s">
        <v>21</v>
      </c>
      <c r="K85" s="3" t="s">
        <v>369</v>
      </c>
      <c r="M85" s="3" t="s">
        <v>302</v>
      </c>
      <c r="N85" s="3">
        <v>10</v>
      </c>
      <c r="O85" s="3">
        <v>502</v>
      </c>
    </row>
    <row r="86" spans="1:15" hidden="1" x14ac:dyDescent="0.3">
      <c r="A86" s="3" t="s">
        <v>7</v>
      </c>
      <c r="B86" s="3" t="s">
        <v>7</v>
      </c>
      <c r="C86" s="2" t="s">
        <v>67</v>
      </c>
      <c r="D86" s="3">
        <v>23</v>
      </c>
      <c r="E86" s="3" t="s">
        <v>19</v>
      </c>
      <c r="F86" s="3" t="str">
        <f t="shared" si="1"/>
        <v>AICA-DC-INV-23</v>
      </c>
      <c r="G86" s="3" t="s">
        <v>193</v>
      </c>
      <c r="H86" s="3">
        <v>137.34</v>
      </c>
      <c r="I86" s="3" t="s">
        <v>35</v>
      </c>
      <c r="J86" s="3" t="s">
        <v>21</v>
      </c>
      <c r="K86" s="3" t="s">
        <v>369</v>
      </c>
      <c r="M86" s="3" t="s">
        <v>302</v>
      </c>
      <c r="N86" s="3">
        <v>5</v>
      </c>
      <c r="O86" s="3">
        <v>502</v>
      </c>
    </row>
    <row r="87" spans="1:15" hidden="1" x14ac:dyDescent="0.3">
      <c r="A87" s="3" t="s">
        <v>7</v>
      </c>
      <c r="B87" s="3" t="s">
        <v>7</v>
      </c>
      <c r="C87" s="2" t="s">
        <v>67</v>
      </c>
      <c r="D87" s="3">
        <v>24</v>
      </c>
      <c r="E87" s="3" t="s">
        <v>19</v>
      </c>
      <c r="F87" s="3" t="str">
        <f t="shared" si="1"/>
        <v>AICA-DC-INV-24</v>
      </c>
      <c r="G87" s="3" t="s">
        <v>194</v>
      </c>
      <c r="H87" s="3">
        <v>133.52500000000001</v>
      </c>
      <c r="I87" s="3" t="s">
        <v>35</v>
      </c>
      <c r="J87" s="3" t="s">
        <v>21</v>
      </c>
      <c r="K87" s="3" t="s">
        <v>369</v>
      </c>
      <c r="M87" s="3" t="s">
        <v>302</v>
      </c>
      <c r="N87" s="3">
        <v>1</v>
      </c>
      <c r="O87" s="3">
        <v>502</v>
      </c>
    </row>
    <row r="88" spans="1:15" hidden="1" x14ac:dyDescent="0.3">
      <c r="A88" s="3" t="s">
        <v>7</v>
      </c>
      <c r="B88" s="3" t="s">
        <v>7</v>
      </c>
      <c r="C88" s="2" t="s">
        <v>67</v>
      </c>
      <c r="D88" s="3">
        <v>25</v>
      </c>
      <c r="E88" s="3" t="s">
        <v>19</v>
      </c>
      <c r="F88" s="3" t="str">
        <f t="shared" si="1"/>
        <v>AICA-DC-INV-25</v>
      </c>
      <c r="G88" s="3" t="s">
        <v>195</v>
      </c>
      <c r="H88" s="3">
        <v>137.34</v>
      </c>
      <c r="I88" s="3" t="s">
        <v>35</v>
      </c>
      <c r="J88" s="3" t="s">
        <v>21</v>
      </c>
      <c r="K88" s="3" t="s">
        <v>369</v>
      </c>
      <c r="M88" s="3" t="s">
        <v>302</v>
      </c>
      <c r="N88" s="3">
        <v>6</v>
      </c>
      <c r="O88" s="3">
        <v>502</v>
      </c>
    </row>
    <row r="89" spans="1:15" hidden="1" x14ac:dyDescent="0.3">
      <c r="A89" s="3" t="s">
        <v>7</v>
      </c>
      <c r="B89" s="3" t="s">
        <v>7</v>
      </c>
      <c r="C89" s="2" t="s">
        <v>67</v>
      </c>
      <c r="D89" s="3">
        <v>26</v>
      </c>
      <c r="E89" s="3" t="s">
        <v>19</v>
      </c>
      <c r="F89" s="3" t="str">
        <f t="shared" si="1"/>
        <v>AICA-DC-INV-26</v>
      </c>
      <c r="G89" s="3" t="s">
        <v>196</v>
      </c>
      <c r="H89" s="3">
        <v>134.07</v>
      </c>
      <c r="I89" s="3" t="s">
        <v>35</v>
      </c>
      <c r="J89" s="3" t="s">
        <v>21</v>
      </c>
      <c r="K89" s="3" t="s">
        <v>369</v>
      </c>
      <c r="M89" s="3" t="s">
        <v>302</v>
      </c>
      <c r="N89" s="3">
        <v>7</v>
      </c>
      <c r="O89" s="3">
        <v>502</v>
      </c>
    </row>
    <row r="90" spans="1:15" hidden="1" x14ac:dyDescent="0.3">
      <c r="A90" s="3" t="s">
        <v>7</v>
      </c>
      <c r="B90" s="3" t="s">
        <v>7</v>
      </c>
      <c r="C90" s="2" t="s">
        <v>67</v>
      </c>
      <c r="D90" s="3">
        <v>27</v>
      </c>
      <c r="E90" s="3" t="s">
        <v>19</v>
      </c>
      <c r="F90" s="3" t="str">
        <f t="shared" si="1"/>
        <v>AICA-DC-INV-27</v>
      </c>
      <c r="G90" s="3" t="s">
        <v>197</v>
      </c>
      <c r="H90" s="3">
        <v>137.34</v>
      </c>
      <c r="I90" s="3" t="s">
        <v>35</v>
      </c>
      <c r="J90" s="3" t="s">
        <v>21</v>
      </c>
      <c r="K90" s="3" t="s">
        <v>369</v>
      </c>
      <c r="M90" s="3" t="s">
        <v>302</v>
      </c>
      <c r="N90" s="3">
        <v>9</v>
      </c>
      <c r="O90" s="3">
        <v>502</v>
      </c>
    </row>
    <row r="91" spans="1:15" hidden="1" x14ac:dyDescent="0.3">
      <c r="A91" s="3" t="s">
        <v>7</v>
      </c>
      <c r="B91" s="3" t="s">
        <v>7</v>
      </c>
      <c r="C91" s="2" t="s">
        <v>67</v>
      </c>
      <c r="D91" s="3">
        <v>28</v>
      </c>
      <c r="E91" s="3" t="s">
        <v>19</v>
      </c>
      <c r="F91" s="3" t="str">
        <f t="shared" si="1"/>
        <v>AICA-DC-INV-28</v>
      </c>
      <c r="G91" s="3" t="s">
        <v>198</v>
      </c>
      <c r="H91" s="3">
        <v>132.97999999999999</v>
      </c>
      <c r="I91" s="3" t="s">
        <v>35</v>
      </c>
      <c r="J91" s="3" t="s">
        <v>21</v>
      </c>
      <c r="K91" s="3" t="s">
        <v>369</v>
      </c>
      <c r="M91" s="3" t="s">
        <v>302</v>
      </c>
      <c r="N91" s="3">
        <v>12</v>
      </c>
      <c r="O91" s="3">
        <v>502</v>
      </c>
    </row>
    <row r="92" spans="1:15" hidden="1" x14ac:dyDescent="0.3">
      <c r="A92" s="3" t="s">
        <v>7</v>
      </c>
      <c r="B92" s="3" t="s">
        <v>7</v>
      </c>
      <c r="C92" s="2" t="s">
        <v>68</v>
      </c>
      <c r="D92" s="3">
        <v>1</v>
      </c>
      <c r="E92" s="3" t="s">
        <v>19</v>
      </c>
      <c r="F92" s="3" t="str">
        <f t="shared" si="1"/>
        <v>AICA-DRY-INV-01</v>
      </c>
      <c r="G92" s="3" t="s">
        <v>199</v>
      </c>
      <c r="H92" s="3">
        <v>120.45</v>
      </c>
      <c r="I92" s="3" t="s">
        <v>35</v>
      </c>
      <c r="J92" s="3" t="s">
        <v>21</v>
      </c>
      <c r="K92" s="3" t="s">
        <v>369</v>
      </c>
      <c r="M92" s="3" t="s">
        <v>302</v>
      </c>
      <c r="N92" s="3">
        <v>15</v>
      </c>
      <c r="O92" s="3">
        <v>502</v>
      </c>
    </row>
    <row r="93" spans="1:15" hidden="1" x14ac:dyDescent="0.3">
      <c r="A93" s="3" t="s">
        <v>7</v>
      </c>
      <c r="B93" s="3" t="s">
        <v>7</v>
      </c>
      <c r="C93" s="2" t="s">
        <v>68</v>
      </c>
      <c r="D93" s="3">
        <v>2</v>
      </c>
      <c r="E93" s="3" t="s">
        <v>19</v>
      </c>
      <c r="F93" s="3" t="str">
        <f t="shared" si="1"/>
        <v>AICA-DRY-INV-02</v>
      </c>
      <c r="G93" s="3" t="s">
        <v>200</v>
      </c>
      <c r="H93" s="3">
        <v>120.45</v>
      </c>
      <c r="I93" s="3" t="s">
        <v>35</v>
      </c>
      <c r="J93" s="3" t="s">
        <v>21</v>
      </c>
      <c r="K93" s="3" t="s">
        <v>369</v>
      </c>
      <c r="M93" s="3" t="s">
        <v>302</v>
      </c>
      <c r="N93" s="3">
        <v>16</v>
      </c>
      <c r="O93" s="3">
        <v>502</v>
      </c>
    </row>
    <row r="94" spans="1:15" hidden="1" x14ac:dyDescent="0.3">
      <c r="A94" s="3" t="s">
        <v>7</v>
      </c>
      <c r="B94" s="3" t="s">
        <v>7</v>
      </c>
      <c r="C94" s="2" t="s">
        <v>67</v>
      </c>
      <c r="D94" s="3">
        <v>1</v>
      </c>
      <c r="E94" s="3" t="s">
        <v>64</v>
      </c>
      <c r="F94" s="3" t="str">
        <f t="shared" si="1"/>
        <v>AICA-DC-REV-01</v>
      </c>
      <c r="G94" s="3" t="s">
        <v>201</v>
      </c>
      <c r="J94" s="2" t="s">
        <v>362</v>
      </c>
      <c r="K94" s="2" t="s">
        <v>361</v>
      </c>
      <c r="L94" s="3">
        <v>250710616</v>
      </c>
      <c r="M94" s="3" t="s">
        <v>304</v>
      </c>
      <c r="N94" s="3">
        <v>1</v>
      </c>
      <c r="O94" s="3">
        <v>502</v>
      </c>
    </row>
    <row r="95" spans="1:15" hidden="1" x14ac:dyDescent="0.3">
      <c r="A95" s="3" t="s">
        <v>7</v>
      </c>
      <c r="B95" s="3" t="s">
        <v>7</v>
      </c>
      <c r="C95" s="2" t="s">
        <v>68</v>
      </c>
      <c r="D95" s="3">
        <v>2</v>
      </c>
      <c r="E95" s="3" t="s">
        <v>64</v>
      </c>
      <c r="F95" s="3" t="str">
        <f t="shared" si="1"/>
        <v>AICA-DRY-REV-02</v>
      </c>
      <c r="G95" s="3" t="s">
        <v>202</v>
      </c>
      <c r="J95" s="2" t="s">
        <v>362</v>
      </c>
      <c r="K95" s="2" t="s">
        <v>361</v>
      </c>
      <c r="L95" s="3">
        <v>920809102</v>
      </c>
      <c r="M95" s="3" t="s">
        <v>305</v>
      </c>
      <c r="N95" s="3">
        <v>1</v>
      </c>
      <c r="O95" s="3">
        <v>502</v>
      </c>
    </row>
    <row r="96" spans="1:15" hidden="1" x14ac:dyDescent="0.3">
      <c r="A96" s="3" t="s">
        <v>7</v>
      </c>
      <c r="B96" s="3" t="s">
        <v>7</v>
      </c>
      <c r="C96" s="2" t="s">
        <v>67</v>
      </c>
      <c r="D96" s="3">
        <v>1</v>
      </c>
      <c r="E96" s="3" t="s">
        <v>63</v>
      </c>
      <c r="F96" s="3" t="str">
        <f t="shared" si="1"/>
        <v>AICA-DC-PRY-01</v>
      </c>
      <c r="G96" s="3" t="s">
        <v>203</v>
      </c>
      <c r="K96" s="3"/>
      <c r="M96" s="3" t="s">
        <v>303</v>
      </c>
      <c r="N96" s="3">
        <v>42</v>
      </c>
      <c r="O96" s="3">
        <v>502</v>
      </c>
    </row>
    <row r="97" spans="1:15" hidden="1" x14ac:dyDescent="0.3">
      <c r="A97" s="3" t="s">
        <v>7</v>
      </c>
      <c r="B97" s="3" t="s">
        <v>7</v>
      </c>
      <c r="D97" s="3">
        <v>1</v>
      </c>
      <c r="E97" s="3" t="s">
        <v>23</v>
      </c>
      <c r="F97" s="3" t="str">
        <f t="shared" ref="F97" si="2">B97&amp;"-"&amp;IF(C97="","",C97&amp;"-")&amp;IF(E97="Inverter","INV",IF(E97="Pyranometer","PRY",IF(E97="Revenue Meter","REV",IF(E97="Grid Meter","GMT","recheck"))))&amp;"-"&amp;TEXT(D97,"00")</f>
        <v>AICA-GMT-01</v>
      </c>
      <c r="G97" s="3" t="s">
        <v>283</v>
      </c>
      <c r="K97" s="3"/>
      <c r="M97" s="3" t="s">
        <v>303</v>
      </c>
      <c r="N97" s="3">
        <v>41</v>
      </c>
      <c r="O97" s="3">
        <v>502</v>
      </c>
    </row>
    <row r="98" spans="1:15" hidden="1" x14ac:dyDescent="0.3">
      <c r="A98" s="3" t="s">
        <v>8</v>
      </c>
      <c r="B98" s="3" t="s">
        <v>69</v>
      </c>
      <c r="C98" s="2" t="s">
        <v>70</v>
      </c>
      <c r="D98" s="3">
        <v>1</v>
      </c>
      <c r="E98" s="3" t="s">
        <v>19</v>
      </c>
      <c r="F98" s="3" t="str">
        <f t="shared" si="1"/>
        <v>SRT-S1-INV-01</v>
      </c>
      <c r="G98" s="3" t="s">
        <v>204</v>
      </c>
      <c r="H98" s="3">
        <v>192.8</v>
      </c>
      <c r="I98" s="3" t="s">
        <v>35</v>
      </c>
      <c r="J98" s="3" t="s">
        <v>21</v>
      </c>
      <c r="K98" s="3" t="s">
        <v>371</v>
      </c>
      <c r="M98" s="3" t="s">
        <v>301</v>
      </c>
      <c r="N98" s="3">
        <v>46</v>
      </c>
      <c r="O98" s="3">
        <v>502</v>
      </c>
    </row>
    <row r="99" spans="1:15" hidden="1" x14ac:dyDescent="0.3">
      <c r="A99" s="3" t="s">
        <v>8</v>
      </c>
      <c r="B99" s="3" t="s">
        <v>69</v>
      </c>
      <c r="C99" s="2" t="s">
        <v>70</v>
      </c>
      <c r="D99" s="3">
        <v>2</v>
      </c>
      <c r="E99" s="3" t="s">
        <v>19</v>
      </c>
      <c r="F99" s="3" t="str">
        <f t="shared" si="1"/>
        <v>SRT-S1-INV-02</v>
      </c>
      <c r="G99" s="3" t="s">
        <v>205</v>
      </c>
      <c r="H99" s="3">
        <v>186.8</v>
      </c>
      <c r="I99" s="3" t="s">
        <v>35</v>
      </c>
      <c r="J99" s="3" t="s">
        <v>21</v>
      </c>
      <c r="K99" s="3" t="s">
        <v>371</v>
      </c>
      <c r="M99" s="3" t="s">
        <v>301</v>
      </c>
      <c r="N99" s="3">
        <v>12</v>
      </c>
      <c r="O99" s="3">
        <v>502</v>
      </c>
    </row>
    <row r="100" spans="1:15" hidden="1" x14ac:dyDescent="0.3">
      <c r="A100" s="3" t="s">
        <v>8</v>
      </c>
      <c r="B100" s="3" t="s">
        <v>69</v>
      </c>
      <c r="C100" s="2" t="s">
        <v>70</v>
      </c>
      <c r="D100" s="3">
        <v>3</v>
      </c>
      <c r="E100" s="3" t="s">
        <v>19</v>
      </c>
      <c r="F100" s="3" t="str">
        <f t="shared" si="1"/>
        <v>SRT-S1-INV-03</v>
      </c>
      <c r="G100" s="3" t="s">
        <v>206</v>
      </c>
      <c r="H100" s="3">
        <v>190.6</v>
      </c>
      <c r="I100" s="3" t="s">
        <v>35</v>
      </c>
      <c r="J100" s="3" t="s">
        <v>21</v>
      </c>
      <c r="K100" s="3" t="s">
        <v>371</v>
      </c>
      <c r="M100" s="3" t="s">
        <v>301</v>
      </c>
      <c r="N100" s="3">
        <v>7</v>
      </c>
      <c r="O100" s="3">
        <v>502</v>
      </c>
    </row>
    <row r="101" spans="1:15" hidden="1" x14ac:dyDescent="0.3">
      <c r="A101" s="3" t="s">
        <v>8</v>
      </c>
      <c r="B101" s="3" t="s">
        <v>69</v>
      </c>
      <c r="C101" s="2" t="s">
        <v>70</v>
      </c>
      <c r="D101" s="3">
        <v>4</v>
      </c>
      <c r="E101" s="3" t="s">
        <v>19</v>
      </c>
      <c r="F101" s="3" t="str">
        <f t="shared" si="1"/>
        <v>SRT-S1-INV-04</v>
      </c>
      <c r="G101" s="3" t="s">
        <v>207</v>
      </c>
      <c r="H101" s="3">
        <v>194.4</v>
      </c>
      <c r="I101" s="3" t="s">
        <v>35</v>
      </c>
      <c r="J101" s="3" t="s">
        <v>21</v>
      </c>
      <c r="K101" s="3" t="s">
        <v>371</v>
      </c>
      <c r="M101" s="3" t="s">
        <v>301</v>
      </c>
      <c r="N101" s="3">
        <v>11</v>
      </c>
      <c r="O101" s="3">
        <v>502</v>
      </c>
    </row>
    <row r="102" spans="1:15" hidden="1" x14ac:dyDescent="0.3">
      <c r="A102" s="3" t="s">
        <v>8</v>
      </c>
      <c r="B102" s="3" t="s">
        <v>69</v>
      </c>
      <c r="C102" s="2" t="s">
        <v>70</v>
      </c>
      <c r="D102" s="3">
        <v>5</v>
      </c>
      <c r="E102" s="3" t="s">
        <v>19</v>
      </c>
      <c r="F102" s="3" t="str">
        <f t="shared" si="1"/>
        <v>SRT-S1-INV-05</v>
      </c>
      <c r="G102" s="3" t="s">
        <v>208</v>
      </c>
      <c r="H102" s="3">
        <v>189.5</v>
      </c>
      <c r="I102" s="3" t="s">
        <v>35</v>
      </c>
      <c r="J102" s="3" t="s">
        <v>21</v>
      </c>
      <c r="K102" s="3" t="s">
        <v>371</v>
      </c>
      <c r="M102" s="3" t="s">
        <v>301</v>
      </c>
      <c r="N102" s="3">
        <v>10</v>
      </c>
      <c r="O102" s="3">
        <v>502</v>
      </c>
    </row>
    <row r="103" spans="1:15" hidden="1" x14ac:dyDescent="0.3">
      <c r="A103" s="3" t="s">
        <v>8</v>
      </c>
      <c r="B103" s="3" t="s">
        <v>69</v>
      </c>
      <c r="C103" s="2" t="s">
        <v>70</v>
      </c>
      <c r="D103" s="3">
        <v>6</v>
      </c>
      <c r="E103" s="3" t="s">
        <v>19</v>
      </c>
      <c r="F103" s="3" t="str">
        <f t="shared" si="1"/>
        <v>SRT-S1-INV-06</v>
      </c>
      <c r="G103" s="3" t="s">
        <v>209</v>
      </c>
      <c r="H103" s="3">
        <v>194.4</v>
      </c>
      <c r="I103" s="3" t="s">
        <v>35</v>
      </c>
      <c r="J103" s="3" t="s">
        <v>21</v>
      </c>
      <c r="K103" s="3" t="s">
        <v>371</v>
      </c>
      <c r="M103" s="3" t="s">
        <v>301</v>
      </c>
      <c r="N103" s="3">
        <v>8</v>
      </c>
      <c r="O103" s="3">
        <v>502</v>
      </c>
    </row>
    <row r="104" spans="1:15" hidden="1" x14ac:dyDescent="0.3">
      <c r="A104" s="3" t="s">
        <v>8</v>
      </c>
      <c r="B104" s="3" t="s">
        <v>69</v>
      </c>
      <c r="C104" s="2" t="s">
        <v>70</v>
      </c>
      <c r="D104" s="3">
        <v>7</v>
      </c>
      <c r="E104" s="3" t="s">
        <v>19</v>
      </c>
      <c r="F104" s="3" t="str">
        <f t="shared" si="1"/>
        <v>SRT-S1-INV-07</v>
      </c>
      <c r="G104" s="3" t="s">
        <v>210</v>
      </c>
      <c r="H104" s="3">
        <v>179.3</v>
      </c>
      <c r="I104" s="3" t="s">
        <v>35</v>
      </c>
      <c r="J104" s="3" t="s">
        <v>21</v>
      </c>
      <c r="K104" s="3" t="s">
        <v>371</v>
      </c>
      <c r="M104" s="3" t="s">
        <v>301</v>
      </c>
      <c r="N104" s="3">
        <v>5</v>
      </c>
      <c r="O104" s="3">
        <v>502</v>
      </c>
    </row>
    <row r="105" spans="1:15" hidden="1" x14ac:dyDescent="0.3">
      <c r="A105" s="3" t="s">
        <v>8</v>
      </c>
      <c r="B105" s="3" t="s">
        <v>69</v>
      </c>
      <c r="C105" s="2" t="s">
        <v>70</v>
      </c>
      <c r="D105" s="3">
        <v>8</v>
      </c>
      <c r="E105" s="3" t="s">
        <v>19</v>
      </c>
      <c r="F105" s="3" t="str">
        <f t="shared" si="1"/>
        <v>SRT-S1-INV-08</v>
      </c>
      <c r="G105" s="3" t="s">
        <v>211</v>
      </c>
      <c r="H105" s="3">
        <v>191.2</v>
      </c>
      <c r="I105" s="3" t="s">
        <v>35</v>
      </c>
      <c r="J105" s="3" t="s">
        <v>21</v>
      </c>
      <c r="K105" s="3" t="s">
        <v>371</v>
      </c>
      <c r="M105" s="3" t="s">
        <v>301</v>
      </c>
      <c r="N105" s="3">
        <v>14</v>
      </c>
      <c r="O105" s="3">
        <v>502</v>
      </c>
    </row>
    <row r="106" spans="1:15" hidden="1" x14ac:dyDescent="0.3">
      <c r="A106" s="3" t="s">
        <v>8</v>
      </c>
      <c r="B106" s="3" t="s">
        <v>69</v>
      </c>
      <c r="C106" s="2" t="s">
        <v>70</v>
      </c>
      <c r="D106" s="3">
        <v>9</v>
      </c>
      <c r="E106" s="3" t="s">
        <v>19</v>
      </c>
      <c r="F106" s="3" t="str">
        <f t="shared" si="1"/>
        <v>SRT-S1-INV-09</v>
      </c>
      <c r="G106" s="3" t="s">
        <v>212</v>
      </c>
      <c r="H106" s="3">
        <v>191.2</v>
      </c>
      <c r="I106" s="3" t="s">
        <v>35</v>
      </c>
      <c r="J106" s="3" t="s">
        <v>21</v>
      </c>
      <c r="K106" s="3" t="s">
        <v>371</v>
      </c>
      <c r="M106" s="3" t="s">
        <v>301</v>
      </c>
      <c r="N106" s="3">
        <v>13</v>
      </c>
      <c r="O106" s="3">
        <v>502</v>
      </c>
    </row>
    <row r="107" spans="1:15" hidden="1" x14ac:dyDescent="0.3">
      <c r="A107" s="3" t="s">
        <v>8</v>
      </c>
      <c r="B107" s="3" t="s">
        <v>69</v>
      </c>
      <c r="C107" s="2" t="s">
        <v>70</v>
      </c>
      <c r="D107" s="3">
        <v>10</v>
      </c>
      <c r="E107" s="3" t="s">
        <v>19</v>
      </c>
      <c r="F107" s="3" t="str">
        <f t="shared" si="1"/>
        <v>SRT-S1-INV-10</v>
      </c>
      <c r="G107" s="3" t="s">
        <v>213</v>
      </c>
      <c r="H107" s="3">
        <v>194.4</v>
      </c>
      <c r="I107" s="3" t="s">
        <v>35</v>
      </c>
      <c r="J107" s="3" t="s">
        <v>21</v>
      </c>
      <c r="K107" s="3" t="s">
        <v>371</v>
      </c>
      <c r="M107" s="3" t="s">
        <v>301</v>
      </c>
      <c r="N107" s="3">
        <v>4</v>
      </c>
      <c r="O107" s="3">
        <v>502</v>
      </c>
    </row>
    <row r="108" spans="1:15" hidden="1" x14ac:dyDescent="0.3">
      <c r="A108" s="3" t="s">
        <v>8</v>
      </c>
      <c r="B108" s="3" t="s">
        <v>69</v>
      </c>
      <c r="C108" s="2" t="s">
        <v>70</v>
      </c>
      <c r="D108" s="3">
        <v>11</v>
      </c>
      <c r="E108" s="3" t="s">
        <v>19</v>
      </c>
      <c r="F108" s="3" t="str">
        <f t="shared" si="1"/>
        <v>SRT-S1-INV-11</v>
      </c>
      <c r="G108" s="3" t="s">
        <v>214</v>
      </c>
      <c r="H108" s="3">
        <v>194.4</v>
      </c>
      <c r="I108" s="3" t="s">
        <v>35</v>
      </c>
      <c r="J108" s="3" t="s">
        <v>21</v>
      </c>
      <c r="K108" s="3" t="s">
        <v>371</v>
      </c>
      <c r="M108" s="3" t="s">
        <v>301</v>
      </c>
      <c r="N108" s="3">
        <v>9</v>
      </c>
      <c r="O108" s="3">
        <v>502</v>
      </c>
    </row>
    <row r="109" spans="1:15" hidden="1" x14ac:dyDescent="0.3">
      <c r="A109" s="3" t="s">
        <v>8</v>
      </c>
      <c r="B109" s="3" t="s">
        <v>69</v>
      </c>
      <c r="C109" s="2" t="s">
        <v>70</v>
      </c>
      <c r="D109" s="3">
        <v>12</v>
      </c>
      <c r="E109" s="3" t="s">
        <v>19</v>
      </c>
      <c r="F109" s="3" t="str">
        <f t="shared" si="1"/>
        <v>SRT-S1-INV-12</v>
      </c>
      <c r="G109" s="3" t="s">
        <v>215</v>
      </c>
      <c r="H109" s="3">
        <v>191.2</v>
      </c>
      <c r="I109" s="3" t="s">
        <v>35</v>
      </c>
      <c r="J109" s="3" t="s">
        <v>21</v>
      </c>
      <c r="K109" s="3" t="s">
        <v>371</v>
      </c>
      <c r="M109" s="3" t="s">
        <v>301</v>
      </c>
      <c r="N109" s="3">
        <v>6</v>
      </c>
      <c r="O109" s="3">
        <v>502</v>
      </c>
    </row>
    <row r="110" spans="1:15" hidden="1" x14ac:dyDescent="0.3">
      <c r="A110" s="3" t="s">
        <v>8</v>
      </c>
      <c r="B110" s="3" t="s">
        <v>69</v>
      </c>
      <c r="C110" s="2" t="s">
        <v>70</v>
      </c>
      <c r="D110" s="3">
        <v>13</v>
      </c>
      <c r="E110" s="3" t="s">
        <v>19</v>
      </c>
      <c r="F110" s="3" t="str">
        <f t="shared" si="1"/>
        <v>SRT-S1-INV-13</v>
      </c>
      <c r="G110" s="3" t="s">
        <v>216</v>
      </c>
      <c r="H110" s="3">
        <v>192.2</v>
      </c>
      <c r="I110" s="3" t="s">
        <v>35</v>
      </c>
      <c r="J110" s="3" t="s">
        <v>21</v>
      </c>
      <c r="K110" s="3" t="s">
        <v>371</v>
      </c>
      <c r="M110" s="3" t="s">
        <v>301</v>
      </c>
      <c r="N110" s="3">
        <v>3</v>
      </c>
      <c r="O110" s="3">
        <v>502</v>
      </c>
    </row>
    <row r="111" spans="1:15" hidden="1" x14ac:dyDescent="0.3">
      <c r="A111" s="3" t="s">
        <v>8</v>
      </c>
      <c r="B111" s="3" t="s">
        <v>69</v>
      </c>
      <c r="C111" s="2" t="s">
        <v>70</v>
      </c>
      <c r="D111" s="3">
        <v>14</v>
      </c>
      <c r="E111" s="3" t="s">
        <v>19</v>
      </c>
      <c r="F111" s="3" t="str">
        <f t="shared" si="1"/>
        <v>SRT-S1-INV-14</v>
      </c>
      <c r="G111" s="3" t="s">
        <v>217</v>
      </c>
      <c r="H111" s="3">
        <v>189</v>
      </c>
      <c r="I111" s="3" t="s">
        <v>35</v>
      </c>
      <c r="J111" s="3" t="s">
        <v>21</v>
      </c>
      <c r="K111" s="3" t="s">
        <v>371</v>
      </c>
      <c r="M111" s="3" t="s">
        <v>301</v>
      </c>
      <c r="N111" s="3">
        <v>37</v>
      </c>
      <c r="O111" s="3">
        <v>502</v>
      </c>
    </row>
    <row r="112" spans="1:15" hidden="1" x14ac:dyDescent="0.3">
      <c r="A112" s="3" t="s">
        <v>8</v>
      </c>
      <c r="B112" s="3" t="s">
        <v>69</v>
      </c>
      <c r="C112" s="2" t="s">
        <v>70</v>
      </c>
      <c r="D112" s="3">
        <v>15</v>
      </c>
      <c r="E112" s="3" t="s">
        <v>19</v>
      </c>
      <c r="F112" s="3" t="str">
        <f t="shared" si="1"/>
        <v>SRT-S1-INV-15</v>
      </c>
      <c r="G112" s="3" t="s">
        <v>218</v>
      </c>
      <c r="H112" s="3">
        <v>192.8</v>
      </c>
      <c r="I112" s="3" t="s">
        <v>35</v>
      </c>
      <c r="J112" s="3" t="s">
        <v>21</v>
      </c>
      <c r="K112" s="3" t="s">
        <v>371</v>
      </c>
      <c r="M112" s="3" t="s">
        <v>301</v>
      </c>
      <c r="N112" s="3">
        <v>36</v>
      </c>
      <c r="O112" s="3">
        <v>502</v>
      </c>
    </row>
    <row r="113" spans="1:15" hidden="1" x14ac:dyDescent="0.3">
      <c r="A113" s="3" t="s">
        <v>8</v>
      </c>
      <c r="B113" s="3" t="s">
        <v>69</v>
      </c>
      <c r="C113" s="2" t="s">
        <v>71</v>
      </c>
      <c r="D113" s="3">
        <v>16</v>
      </c>
      <c r="E113" s="3" t="s">
        <v>19</v>
      </c>
      <c r="F113" s="3" t="str">
        <f t="shared" si="1"/>
        <v>SRT-S2-INV-16</v>
      </c>
      <c r="G113" s="3" t="s">
        <v>221</v>
      </c>
      <c r="H113" s="3">
        <v>78.3</v>
      </c>
      <c r="I113" s="3" t="s">
        <v>35</v>
      </c>
      <c r="J113" s="3" t="s">
        <v>21</v>
      </c>
      <c r="K113" s="3" t="s">
        <v>376</v>
      </c>
      <c r="M113" s="3" t="s">
        <v>301</v>
      </c>
      <c r="N113" s="3">
        <v>31</v>
      </c>
      <c r="O113" s="3">
        <v>502</v>
      </c>
    </row>
    <row r="114" spans="1:15" hidden="1" x14ac:dyDescent="0.3">
      <c r="A114" s="3" t="s">
        <v>8</v>
      </c>
      <c r="B114" s="3" t="s">
        <v>69</v>
      </c>
      <c r="C114" s="2" t="s">
        <v>71</v>
      </c>
      <c r="D114" s="3">
        <v>17</v>
      </c>
      <c r="E114" s="3" t="s">
        <v>19</v>
      </c>
      <c r="F114" s="3" t="str">
        <f t="shared" si="1"/>
        <v>SRT-S2-INV-17</v>
      </c>
      <c r="G114" s="3" t="s">
        <v>222</v>
      </c>
      <c r="H114" s="3">
        <v>72.900000000000006</v>
      </c>
      <c r="I114" s="3" t="s">
        <v>35</v>
      </c>
      <c r="J114" s="3" t="s">
        <v>21</v>
      </c>
      <c r="K114" s="3" t="s">
        <v>376</v>
      </c>
      <c r="M114" s="3" t="s">
        <v>301</v>
      </c>
      <c r="N114" s="3">
        <v>32</v>
      </c>
      <c r="O114" s="3">
        <v>502</v>
      </c>
    </row>
    <row r="115" spans="1:15" hidden="1" x14ac:dyDescent="0.3">
      <c r="A115" s="3" t="s">
        <v>8</v>
      </c>
      <c r="B115" s="3" t="s">
        <v>69</v>
      </c>
      <c r="C115" s="2" t="s">
        <v>70</v>
      </c>
      <c r="D115" s="3">
        <v>1</v>
      </c>
      <c r="E115" s="3" t="s">
        <v>64</v>
      </c>
      <c r="F115" s="3" t="str">
        <f t="shared" si="1"/>
        <v>SRT-S1-REV-01</v>
      </c>
      <c r="G115" s="3" t="s">
        <v>219</v>
      </c>
      <c r="J115" s="2" t="s">
        <v>362</v>
      </c>
      <c r="K115" s="2" t="s">
        <v>361</v>
      </c>
      <c r="L115" s="3">
        <v>251203497</v>
      </c>
      <c r="M115" s="3" t="s">
        <v>299</v>
      </c>
      <c r="N115" s="3">
        <v>1</v>
      </c>
      <c r="O115" s="3">
        <v>502</v>
      </c>
    </row>
    <row r="116" spans="1:15" hidden="1" x14ac:dyDescent="0.3">
      <c r="A116" s="3" t="s">
        <v>8</v>
      </c>
      <c r="B116" s="3" t="s">
        <v>69</v>
      </c>
      <c r="C116" s="2" t="s">
        <v>71</v>
      </c>
      <c r="D116" s="3">
        <v>1</v>
      </c>
      <c r="E116" s="3" t="s">
        <v>64</v>
      </c>
      <c r="F116" s="3" t="str">
        <f t="shared" si="1"/>
        <v>SRT-S2-REV-01</v>
      </c>
      <c r="G116" s="3" t="s">
        <v>220</v>
      </c>
      <c r="J116" s="2" t="s">
        <v>362</v>
      </c>
      <c r="K116" s="2" t="s">
        <v>361</v>
      </c>
      <c r="L116" s="3">
        <v>251203585</v>
      </c>
      <c r="M116" s="3" t="s">
        <v>300</v>
      </c>
      <c r="N116" s="3">
        <v>1</v>
      </c>
      <c r="O116" s="3">
        <v>502</v>
      </c>
    </row>
    <row r="117" spans="1:15" hidden="1" x14ac:dyDescent="0.3">
      <c r="A117" s="3" t="s">
        <v>8</v>
      </c>
      <c r="B117" s="3" t="s">
        <v>69</v>
      </c>
      <c r="D117" s="3">
        <v>1</v>
      </c>
      <c r="E117" s="3" t="s">
        <v>63</v>
      </c>
      <c r="F117" s="3" t="str">
        <f t="shared" si="1"/>
        <v>SRT-PRY-01</v>
      </c>
      <c r="G117" s="3" t="s">
        <v>223</v>
      </c>
      <c r="K117" s="3"/>
      <c r="M117" s="3" t="s">
        <v>301</v>
      </c>
      <c r="N117" s="3">
        <v>45</v>
      </c>
      <c r="O117" s="3">
        <v>502</v>
      </c>
    </row>
    <row r="118" spans="1:15" hidden="1" x14ac:dyDescent="0.3">
      <c r="A118" s="3" t="s">
        <v>8</v>
      </c>
      <c r="B118" s="3" t="s">
        <v>69</v>
      </c>
      <c r="D118" s="3">
        <v>1</v>
      </c>
      <c r="E118" s="3" t="s">
        <v>23</v>
      </c>
      <c r="F118" s="3" t="str">
        <f t="shared" ref="F118" si="3">B118&amp;"-"&amp;IF(C118="","",C118&amp;"-")&amp;IF(E118="Inverter","INV",IF(E118="Pyranometer","PRY",IF(E118="Revenue Meter","REV",IF(E118="Grid Meter","GMT","recheck"))))&amp;"-"&amp;TEXT(D118,"00")</f>
        <v>SRT-GMT-01</v>
      </c>
      <c r="G118" s="3" t="s">
        <v>284</v>
      </c>
      <c r="K118" s="3"/>
      <c r="M118" s="3" t="s">
        <v>301</v>
      </c>
      <c r="N118" s="3">
        <v>35</v>
      </c>
      <c r="O118" s="3">
        <v>502</v>
      </c>
    </row>
    <row r="119" spans="1:15" hidden="1" x14ac:dyDescent="0.3">
      <c r="A119" s="3" t="s">
        <v>72</v>
      </c>
      <c r="B119" s="3" t="s">
        <v>9</v>
      </c>
      <c r="C119" s="2" t="s">
        <v>73</v>
      </c>
      <c r="D119" s="3">
        <v>1</v>
      </c>
      <c r="E119" s="3" t="s">
        <v>64</v>
      </c>
      <c r="F119" s="3" t="str">
        <f t="shared" si="1"/>
        <v>SUT-CL1-REV-01</v>
      </c>
      <c r="G119" s="3" t="s">
        <v>224</v>
      </c>
      <c r="J119" s="2" t="s">
        <v>362</v>
      </c>
      <c r="K119" s="2" t="s">
        <v>361</v>
      </c>
      <c r="L119" s="3">
        <v>251203642</v>
      </c>
      <c r="M119" s="7" t="s">
        <v>317</v>
      </c>
      <c r="N119" s="3">
        <v>1</v>
      </c>
      <c r="O119" s="3">
        <v>502</v>
      </c>
    </row>
    <row r="120" spans="1:15" hidden="1" x14ac:dyDescent="0.3">
      <c r="A120" s="3" t="s">
        <v>72</v>
      </c>
      <c r="B120" s="3" t="s">
        <v>9</v>
      </c>
      <c r="C120" s="2" t="s">
        <v>74</v>
      </c>
      <c r="D120" s="3">
        <v>1</v>
      </c>
      <c r="E120" s="3" t="s">
        <v>64</v>
      </c>
      <c r="F120" s="3" t="str">
        <f t="shared" si="1"/>
        <v>SUT-SV-REV-01</v>
      </c>
      <c r="G120" s="3" t="s">
        <v>225</v>
      </c>
      <c r="J120" s="2" t="s">
        <v>362</v>
      </c>
      <c r="K120" s="2" t="s">
        <v>361</v>
      </c>
      <c r="L120" s="3">
        <v>251203644</v>
      </c>
      <c r="M120" s="7" t="s">
        <v>320</v>
      </c>
      <c r="N120" s="3">
        <v>1</v>
      </c>
      <c r="O120" s="3">
        <v>502</v>
      </c>
    </row>
    <row r="121" spans="1:15" hidden="1" x14ac:dyDescent="0.3">
      <c r="A121" s="3" t="s">
        <v>72</v>
      </c>
      <c r="B121" s="3" t="s">
        <v>9</v>
      </c>
      <c r="C121" s="2" t="s">
        <v>75</v>
      </c>
      <c r="D121" s="3">
        <v>1</v>
      </c>
      <c r="E121" s="3" t="s">
        <v>64</v>
      </c>
      <c r="F121" s="3" t="str">
        <f t="shared" si="1"/>
        <v>SUT-SC-REV-01</v>
      </c>
      <c r="G121" s="3" t="s">
        <v>227</v>
      </c>
      <c r="J121" s="2" t="s">
        <v>362</v>
      </c>
      <c r="K121" s="2" t="s">
        <v>361</v>
      </c>
      <c r="L121" s="3">
        <v>251203641</v>
      </c>
      <c r="M121" s="7" t="s">
        <v>316</v>
      </c>
      <c r="N121" s="3">
        <v>1</v>
      </c>
      <c r="O121" s="3">
        <v>502</v>
      </c>
    </row>
    <row r="122" spans="1:15" hidden="1" x14ac:dyDescent="0.3">
      <c r="A122" s="3" t="s">
        <v>72</v>
      </c>
      <c r="B122" s="3" t="s">
        <v>9</v>
      </c>
      <c r="C122" s="2" t="s">
        <v>45</v>
      </c>
      <c r="D122" s="3">
        <v>1</v>
      </c>
      <c r="E122" s="3" t="s">
        <v>64</v>
      </c>
      <c r="F122" s="3" t="str">
        <f t="shared" si="1"/>
        <v>SUT-FT-REV-01</v>
      </c>
      <c r="G122" s="3" t="s">
        <v>228</v>
      </c>
      <c r="J122" s="2" t="s">
        <v>362</v>
      </c>
      <c r="K122" s="2" t="s">
        <v>361</v>
      </c>
      <c r="L122" s="3">
        <v>251203501</v>
      </c>
      <c r="M122" s="3" t="s">
        <v>314</v>
      </c>
      <c r="N122" s="3">
        <v>1</v>
      </c>
      <c r="O122" s="3">
        <v>502</v>
      </c>
    </row>
    <row r="123" spans="1:15" hidden="1" x14ac:dyDescent="0.3">
      <c r="A123" s="3" t="s">
        <v>72</v>
      </c>
      <c r="B123" s="3" t="s">
        <v>9</v>
      </c>
      <c r="C123" s="2" t="s">
        <v>76</v>
      </c>
      <c r="D123" s="3">
        <v>1</v>
      </c>
      <c r="E123" s="3" t="s">
        <v>64</v>
      </c>
      <c r="F123" s="3" t="str">
        <f t="shared" si="1"/>
        <v>SUT-F10-REV-01</v>
      </c>
      <c r="G123" s="3" t="s">
        <v>229</v>
      </c>
      <c r="J123" s="2" t="s">
        <v>362</v>
      </c>
      <c r="K123" s="2" t="s">
        <v>361</v>
      </c>
      <c r="L123" s="3">
        <v>251203640</v>
      </c>
      <c r="M123" s="7" t="s">
        <v>319</v>
      </c>
      <c r="N123" s="3">
        <v>1</v>
      </c>
      <c r="O123" s="3">
        <v>502</v>
      </c>
    </row>
    <row r="124" spans="1:15" hidden="1" x14ac:dyDescent="0.3">
      <c r="A124" s="3" t="s">
        <v>72</v>
      </c>
      <c r="B124" s="3" t="s">
        <v>9</v>
      </c>
      <c r="C124" s="2" t="s">
        <v>77</v>
      </c>
      <c r="D124" s="3">
        <v>1</v>
      </c>
      <c r="E124" s="3" t="s">
        <v>64</v>
      </c>
      <c r="F124" s="3" t="str">
        <f t="shared" si="1"/>
        <v>SUT-F12-REV-01</v>
      </c>
      <c r="G124" s="3" t="s">
        <v>230</v>
      </c>
      <c r="J124" s="2" t="s">
        <v>362</v>
      </c>
      <c r="K124" s="2" t="s">
        <v>361</v>
      </c>
      <c r="L124" s="3">
        <v>251203643</v>
      </c>
      <c r="M124" s="7" t="s">
        <v>318</v>
      </c>
      <c r="N124" s="3">
        <v>1</v>
      </c>
      <c r="O124" s="3">
        <v>502</v>
      </c>
    </row>
    <row r="125" spans="1:15" hidden="1" x14ac:dyDescent="0.3">
      <c r="A125" s="3" t="s">
        <v>72</v>
      </c>
      <c r="B125" s="3" t="s">
        <v>9</v>
      </c>
      <c r="C125" s="2" t="s">
        <v>73</v>
      </c>
      <c r="D125" s="3">
        <v>1</v>
      </c>
      <c r="E125" s="3" t="s">
        <v>19</v>
      </c>
      <c r="F125" s="3" t="str">
        <f t="shared" si="1"/>
        <v>SUT-CL1-INV-01</v>
      </c>
      <c r="G125" s="3" t="s">
        <v>231</v>
      </c>
      <c r="H125" s="3">
        <v>138.24</v>
      </c>
      <c r="I125" s="3" t="s">
        <v>35</v>
      </c>
      <c r="J125" s="3" t="s">
        <v>21</v>
      </c>
      <c r="K125" s="3" t="s">
        <v>369</v>
      </c>
      <c r="M125" s="3" t="s">
        <v>321</v>
      </c>
      <c r="N125" s="3">
        <v>9</v>
      </c>
      <c r="O125" s="3">
        <v>502</v>
      </c>
    </row>
    <row r="126" spans="1:15" hidden="1" x14ac:dyDescent="0.3">
      <c r="A126" s="3" t="s">
        <v>72</v>
      </c>
      <c r="B126" s="3" t="s">
        <v>9</v>
      </c>
      <c r="C126" s="2" t="s">
        <v>73</v>
      </c>
      <c r="D126" s="3">
        <v>2</v>
      </c>
      <c r="E126" s="3" t="s">
        <v>19</v>
      </c>
      <c r="F126" s="3" t="str">
        <f t="shared" si="1"/>
        <v>SUT-CL1-INV-02</v>
      </c>
      <c r="G126" s="3" t="s">
        <v>232</v>
      </c>
      <c r="H126" s="3">
        <v>138.24</v>
      </c>
      <c r="I126" s="3" t="s">
        <v>35</v>
      </c>
      <c r="J126" s="3" t="s">
        <v>21</v>
      </c>
      <c r="K126" s="3" t="s">
        <v>369</v>
      </c>
      <c r="M126" s="3" t="s">
        <v>321</v>
      </c>
      <c r="N126" s="3">
        <v>8</v>
      </c>
      <c r="O126" s="3">
        <v>502</v>
      </c>
    </row>
    <row r="127" spans="1:15" hidden="1" x14ac:dyDescent="0.3">
      <c r="A127" s="3" t="s">
        <v>72</v>
      </c>
      <c r="B127" s="3" t="s">
        <v>9</v>
      </c>
      <c r="C127" s="2" t="s">
        <v>73</v>
      </c>
      <c r="D127" s="3">
        <v>3</v>
      </c>
      <c r="E127" s="3" t="s">
        <v>19</v>
      </c>
      <c r="F127" s="3" t="str">
        <f t="shared" si="1"/>
        <v>SUT-CL1-INV-03</v>
      </c>
      <c r="G127" s="3" t="s">
        <v>233</v>
      </c>
      <c r="H127" s="3">
        <v>138.24</v>
      </c>
      <c r="I127" s="3" t="s">
        <v>35</v>
      </c>
      <c r="J127" s="3" t="s">
        <v>21</v>
      </c>
      <c r="K127" s="3" t="s">
        <v>369</v>
      </c>
      <c r="M127" s="3" t="s">
        <v>321</v>
      </c>
      <c r="N127" s="3">
        <v>10</v>
      </c>
      <c r="O127" s="3">
        <v>502</v>
      </c>
    </row>
    <row r="128" spans="1:15" hidden="1" x14ac:dyDescent="0.3">
      <c r="A128" s="3" t="s">
        <v>72</v>
      </c>
      <c r="B128" s="3" t="s">
        <v>9</v>
      </c>
      <c r="C128" s="2" t="s">
        <v>73</v>
      </c>
      <c r="D128" s="3">
        <v>4</v>
      </c>
      <c r="E128" s="3" t="s">
        <v>19</v>
      </c>
      <c r="F128" s="3" t="str">
        <f t="shared" si="1"/>
        <v>SUT-CL1-INV-04</v>
      </c>
      <c r="G128" s="3" t="s">
        <v>234</v>
      </c>
      <c r="H128" s="3">
        <v>110.7</v>
      </c>
      <c r="I128" s="3" t="s">
        <v>35</v>
      </c>
      <c r="J128" s="3" t="s">
        <v>21</v>
      </c>
      <c r="K128" s="3" t="s">
        <v>369</v>
      </c>
      <c r="M128" s="3" t="s">
        <v>321</v>
      </c>
      <c r="N128" s="3">
        <v>11</v>
      </c>
      <c r="O128" s="3">
        <v>502</v>
      </c>
    </row>
    <row r="129" spans="1:15" hidden="1" x14ac:dyDescent="0.3">
      <c r="A129" s="3" t="s">
        <v>72</v>
      </c>
      <c r="B129" s="3" t="s">
        <v>9</v>
      </c>
      <c r="C129" s="2" t="s">
        <v>75</v>
      </c>
      <c r="D129" s="3">
        <v>1</v>
      </c>
      <c r="E129" s="3" t="s">
        <v>19</v>
      </c>
      <c r="F129" s="3" t="str">
        <f t="shared" si="1"/>
        <v>SUT-SC-INV-01</v>
      </c>
      <c r="G129" s="3" t="s">
        <v>235</v>
      </c>
      <c r="H129" s="3">
        <v>112.32</v>
      </c>
      <c r="I129" s="3" t="s">
        <v>35</v>
      </c>
      <c r="J129" s="3" t="s">
        <v>21</v>
      </c>
      <c r="K129" s="3" t="s">
        <v>369</v>
      </c>
      <c r="M129" s="3" t="s">
        <v>322</v>
      </c>
      <c r="N129" s="3">
        <v>4</v>
      </c>
      <c r="O129" s="3">
        <v>502</v>
      </c>
    </row>
    <row r="130" spans="1:15" hidden="1" x14ac:dyDescent="0.3">
      <c r="A130" s="3" t="s">
        <v>72</v>
      </c>
      <c r="B130" s="3" t="s">
        <v>9</v>
      </c>
      <c r="C130" s="2" t="s">
        <v>75</v>
      </c>
      <c r="D130" s="3">
        <v>2</v>
      </c>
      <c r="E130" s="3" t="s">
        <v>19</v>
      </c>
      <c r="F130" s="3" t="str">
        <f t="shared" si="1"/>
        <v>SUT-SC-INV-02</v>
      </c>
      <c r="G130" s="3" t="s">
        <v>236</v>
      </c>
      <c r="H130" s="3">
        <v>112.32</v>
      </c>
      <c r="I130" s="3" t="s">
        <v>35</v>
      </c>
      <c r="J130" s="3" t="s">
        <v>21</v>
      </c>
      <c r="K130" s="3" t="s">
        <v>369</v>
      </c>
      <c r="M130" s="3" t="s">
        <v>322</v>
      </c>
      <c r="N130" s="3">
        <v>7</v>
      </c>
      <c r="O130" s="3">
        <v>502</v>
      </c>
    </row>
    <row r="131" spans="1:15" hidden="1" x14ac:dyDescent="0.3">
      <c r="A131" s="3" t="s">
        <v>72</v>
      </c>
      <c r="B131" s="3" t="s">
        <v>9</v>
      </c>
      <c r="C131" s="2" t="s">
        <v>75</v>
      </c>
      <c r="D131" s="3">
        <v>3</v>
      </c>
      <c r="E131" s="3" t="s">
        <v>19</v>
      </c>
      <c r="F131" s="3" t="str">
        <f t="shared" si="1"/>
        <v>SUT-SC-INV-03</v>
      </c>
      <c r="G131" s="3" t="s">
        <v>237</v>
      </c>
      <c r="H131" s="3">
        <v>120.96</v>
      </c>
      <c r="I131" s="3" t="s">
        <v>35</v>
      </c>
      <c r="J131" s="3" t="s">
        <v>21</v>
      </c>
      <c r="K131" s="3" t="s">
        <v>369</v>
      </c>
      <c r="M131" s="3" t="s">
        <v>322</v>
      </c>
      <c r="N131" s="3">
        <v>6</v>
      </c>
      <c r="O131" s="3">
        <v>502</v>
      </c>
    </row>
    <row r="132" spans="1:15" hidden="1" x14ac:dyDescent="0.3">
      <c r="A132" s="3" t="s">
        <v>72</v>
      </c>
      <c r="B132" s="3" t="s">
        <v>9</v>
      </c>
      <c r="C132" s="2" t="s">
        <v>75</v>
      </c>
      <c r="D132" s="3">
        <v>4</v>
      </c>
      <c r="E132" s="3" t="s">
        <v>19</v>
      </c>
      <c r="F132" s="3" t="str">
        <f t="shared" si="1"/>
        <v>SUT-SC-INV-04</v>
      </c>
      <c r="G132" s="3" t="s">
        <v>238</v>
      </c>
      <c r="H132" s="3">
        <v>120.96</v>
      </c>
      <c r="I132" s="3" t="s">
        <v>35</v>
      </c>
      <c r="J132" s="3" t="s">
        <v>21</v>
      </c>
      <c r="K132" s="3" t="s">
        <v>369</v>
      </c>
      <c r="M132" s="3" t="s">
        <v>322</v>
      </c>
      <c r="N132" s="3">
        <v>5</v>
      </c>
      <c r="O132" s="3">
        <v>502</v>
      </c>
    </row>
    <row r="133" spans="1:15" hidden="1" x14ac:dyDescent="0.3">
      <c r="A133" s="3" t="s">
        <v>72</v>
      </c>
      <c r="B133" s="3" t="s">
        <v>9</v>
      </c>
      <c r="C133" s="2" t="s">
        <v>78</v>
      </c>
      <c r="D133" s="3">
        <v>1</v>
      </c>
      <c r="E133" s="3" t="s">
        <v>19</v>
      </c>
      <c r="F133" s="3" t="str">
        <f t="shared" si="1"/>
        <v>SUT-CP-INV-01</v>
      </c>
      <c r="G133" s="3" t="s">
        <v>239</v>
      </c>
      <c r="H133" s="3">
        <v>32.4</v>
      </c>
      <c r="I133" s="3" t="s">
        <v>35</v>
      </c>
      <c r="J133" s="3" t="s">
        <v>21</v>
      </c>
      <c r="K133" s="3" t="s">
        <v>378</v>
      </c>
      <c r="M133" s="3" t="s">
        <v>321</v>
      </c>
      <c r="N133" s="3">
        <v>7</v>
      </c>
      <c r="O133" s="3">
        <v>502</v>
      </c>
    </row>
    <row r="134" spans="1:15" hidden="1" x14ac:dyDescent="0.3">
      <c r="A134" s="3" t="s">
        <v>72</v>
      </c>
      <c r="B134" s="3" t="s">
        <v>9</v>
      </c>
      <c r="C134" s="2" t="s">
        <v>78</v>
      </c>
      <c r="D134" s="3">
        <v>2</v>
      </c>
      <c r="E134" s="3" t="s">
        <v>19</v>
      </c>
      <c r="F134" s="3" t="str">
        <f t="shared" si="1"/>
        <v>SUT-CP-INV-02</v>
      </c>
      <c r="G134" s="3" t="s">
        <v>240</v>
      </c>
      <c r="H134" s="3">
        <v>320.39999999999998</v>
      </c>
      <c r="I134" s="3" t="s">
        <v>35</v>
      </c>
      <c r="J134" s="3" t="s">
        <v>21</v>
      </c>
      <c r="K134" s="3" t="s">
        <v>378</v>
      </c>
      <c r="M134" s="3" t="s">
        <v>321</v>
      </c>
      <c r="N134" s="3">
        <v>6</v>
      </c>
      <c r="O134" s="3">
        <v>502</v>
      </c>
    </row>
    <row r="135" spans="1:15" hidden="1" x14ac:dyDescent="0.3">
      <c r="A135" s="3" t="s">
        <v>72</v>
      </c>
      <c r="B135" s="3" t="s">
        <v>9</v>
      </c>
      <c r="C135" s="2" t="s">
        <v>45</v>
      </c>
      <c r="D135" s="3">
        <v>1</v>
      </c>
      <c r="E135" s="3" t="s">
        <v>19</v>
      </c>
      <c r="F135" s="3" t="str">
        <f t="shared" si="1"/>
        <v>SUT-FT-INV-01</v>
      </c>
      <c r="G135" s="3" t="s">
        <v>137</v>
      </c>
      <c r="H135" s="3">
        <v>252.72</v>
      </c>
      <c r="I135" s="3" t="s">
        <v>35</v>
      </c>
      <c r="J135" s="3" t="s">
        <v>21</v>
      </c>
      <c r="K135" s="3" t="s">
        <v>377</v>
      </c>
      <c r="M135" s="3" t="s">
        <v>315</v>
      </c>
      <c r="N135" s="3">
        <v>7</v>
      </c>
      <c r="O135" s="3">
        <v>502</v>
      </c>
    </row>
    <row r="136" spans="1:15" hidden="1" x14ac:dyDescent="0.3">
      <c r="A136" s="3" t="s">
        <v>72</v>
      </c>
      <c r="B136" s="3" t="s">
        <v>9</v>
      </c>
      <c r="C136" s="2" t="s">
        <v>45</v>
      </c>
      <c r="D136" s="3">
        <v>2</v>
      </c>
      <c r="E136" s="3" t="s">
        <v>19</v>
      </c>
      <c r="F136" s="3" t="str">
        <f t="shared" si="1"/>
        <v>SUT-FT-INV-02</v>
      </c>
      <c r="G136" s="3" t="s">
        <v>241</v>
      </c>
      <c r="H136" s="3">
        <v>252.72</v>
      </c>
      <c r="I136" s="3" t="s">
        <v>35</v>
      </c>
      <c r="J136" s="3" t="s">
        <v>21</v>
      </c>
      <c r="K136" s="3" t="s">
        <v>377</v>
      </c>
      <c r="M136" s="3" t="s">
        <v>315</v>
      </c>
      <c r="N136" s="3">
        <v>15</v>
      </c>
      <c r="O136" s="3">
        <v>502</v>
      </c>
    </row>
    <row r="137" spans="1:15" hidden="1" x14ac:dyDescent="0.3">
      <c r="A137" s="3" t="s">
        <v>72</v>
      </c>
      <c r="B137" s="3" t="s">
        <v>9</v>
      </c>
      <c r="C137" s="2" t="s">
        <v>45</v>
      </c>
      <c r="D137" s="3">
        <v>3</v>
      </c>
      <c r="E137" s="3" t="s">
        <v>19</v>
      </c>
      <c r="F137" s="3" t="str">
        <f t="shared" si="1"/>
        <v>SUT-FT-INV-03</v>
      </c>
      <c r="G137" s="3" t="s">
        <v>242</v>
      </c>
      <c r="H137" s="3">
        <v>252.72</v>
      </c>
      <c r="I137" s="3" t="s">
        <v>35</v>
      </c>
      <c r="J137" s="3" t="s">
        <v>21</v>
      </c>
      <c r="K137" s="3" t="s">
        <v>377</v>
      </c>
      <c r="M137" s="3" t="s">
        <v>315</v>
      </c>
      <c r="N137" s="3">
        <v>4</v>
      </c>
      <c r="O137" s="3">
        <v>502</v>
      </c>
    </row>
    <row r="138" spans="1:15" hidden="1" x14ac:dyDescent="0.3">
      <c r="A138" s="3" t="s">
        <v>72</v>
      </c>
      <c r="B138" s="3" t="s">
        <v>9</v>
      </c>
      <c r="C138" s="2" t="s">
        <v>45</v>
      </c>
      <c r="D138" s="3">
        <v>4</v>
      </c>
      <c r="E138" s="3" t="s">
        <v>19</v>
      </c>
      <c r="F138" s="3" t="str">
        <f t="shared" si="1"/>
        <v>SUT-FT-INV-04</v>
      </c>
      <c r="G138" s="3" t="s">
        <v>243</v>
      </c>
      <c r="H138" s="3">
        <v>252.72</v>
      </c>
      <c r="I138" s="3" t="s">
        <v>35</v>
      </c>
      <c r="J138" s="3" t="s">
        <v>21</v>
      </c>
      <c r="K138" s="3" t="s">
        <v>377</v>
      </c>
      <c r="M138" s="3" t="s">
        <v>315</v>
      </c>
      <c r="N138" s="3">
        <v>5</v>
      </c>
      <c r="O138" s="3">
        <v>502</v>
      </c>
    </row>
    <row r="139" spans="1:15" hidden="1" x14ac:dyDescent="0.3">
      <c r="A139" s="3" t="s">
        <v>72</v>
      </c>
      <c r="B139" s="3" t="s">
        <v>9</v>
      </c>
      <c r="C139" s="2" t="s">
        <v>45</v>
      </c>
      <c r="D139" s="3">
        <v>5</v>
      </c>
      <c r="E139" s="3" t="s">
        <v>19</v>
      </c>
      <c r="F139" s="3" t="str">
        <f t="shared" si="1"/>
        <v>SUT-FT-INV-05</v>
      </c>
      <c r="G139" s="3" t="s">
        <v>244</v>
      </c>
      <c r="H139" s="3">
        <v>272.16000000000003</v>
      </c>
      <c r="I139" s="3" t="s">
        <v>35</v>
      </c>
      <c r="J139" s="3" t="s">
        <v>21</v>
      </c>
      <c r="K139" s="3" t="s">
        <v>377</v>
      </c>
      <c r="M139" s="3" t="s">
        <v>315</v>
      </c>
      <c r="N139" s="3">
        <v>9</v>
      </c>
      <c r="O139" s="3">
        <v>502</v>
      </c>
    </row>
    <row r="140" spans="1:15" hidden="1" x14ac:dyDescent="0.3">
      <c r="A140" s="3" t="s">
        <v>72</v>
      </c>
      <c r="B140" s="3" t="s">
        <v>9</v>
      </c>
      <c r="C140" s="2" t="s">
        <v>45</v>
      </c>
      <c r="D140" s="3">
        <v>6</v>
      </c>
      <c r="E140" s="3" t="s">
        <v>19</v>
      </c>
      <c r="F140" s="3" t="str">
        <f t="shared" ref="F140:F208" si="4">B140&amp;"-"&amp;IF(C140="","",C140&amp;"-")&amp;IF(E140="Inverter","INV",IF(E140="Pyranometer","PRY",IF(E140="Revenue Meter","REV",IF(E140="Grid Meter","GMT","recheck"))))&amp;"-"&amp;TEXT(D140,"00")</f>
        <v>SUT-FT-INV-06</v>
      </c>
      <c r="G140" s="3" t="s">
        <v>245</v>
      </c>
      <c r="H140" s="3">
        <v>272.16000000000003</v>
      </c>
      <c r="I140" s="3" t="s">
        <v>35</v>
      </c>
      <c r="J140" s="3" t="s">
        <v>21</v>
      </c>
      <c r="K140" s="3" t="s">
        <v>377</v>
      </c>
      <c r="M140" s="3" t="s">
        <v>315</v>
      </c>
      <c r="N140" s="3">
        <v>2</v>
      </c>
      <c r="O140" s="3">
        <v>502</v>
      </c>
    </row>
    <row r="141" spans="1:15" hidden="1" x14ac:dyDescent="0.3">
      <c r="A141" s="3" t="s">
        <v>72</v>
      </c>
      <c r="B141" s="3" t="s">
        <v>9</v>
      </c>
      <c r="C141" s="2" t="s">
        <v>45</v>
      </c>
      <c r="D141" s="3">
        <v>7</v>
      </c>
      <c r="E141" s="3" t="s">
        <v>19</v>
      </c>
      <c r="F141" s="3" t="str">
        <f t="shared" si="4"/>
        <v>SUT-FT-INV-07</v>
      </c>
      <c r="G141" s="3" t="s">
        <v>246</v>
      </c>
      <c r="H141" s="3">
        <v>272.16000000000003</v>
      </c>
      <c r="I141" s="3" t="s">
        <v>35</v>
      </c>
      <c r="J141" s="3" t="s">
        <v>21</v>
      </c>
      <c r="K141" s="3" t="s">
        <v>377</v>
      </c>
      <c r="M141" s="3" t="s">
        <v>315</v>
      </c>
      <c r="N141" s="3">
        <v>11</v>
      </c>
      <c r="O141" s="3">
        <v>502</v>
      </c>
    </row>
    <row r="142" spans="1:15" hidden="1" x14ac:dyDescent="0.3">
      <c r="A142" s="3" t="s">
        <v>72</v>
      </c>
      <c r="B142" s="3" t="s">
        <v>9</v>
      </c>
      <c r="C142" s="2" t="s">
        <v>45</v>
      </c>
      <c r="D142" s="3">
        <v>8</v>
      </c>
      <c r="E142" s="3" t="s">
        <v>19</v>
      </c>
      <c r="F142" s="3" t="str">
        <f t="shared" si="4"/>
        <v>SUT-FT-INV-08</v>
      </c>
      <c r="G142" s="3" t="s">
        <v>247</v>
      </c>
      <c r="H142" s="3">
        <v>272.16000000000003</v>
      </c>
      <c r="I142" s="3" t="s">
        <v>35</v>
      </c>
      <c r="J142" s="3" t="s">
        <v>21</v>
      </c>
      <c r="K142" s="3" t="s">
        <v>377</v>
      </c>
      <c r="M142" s="3" t="s">
        <v>315</v>
      </c>
      <c r="N142" s="3">
        <v>10</v>
      </c>
      <c r="O142" s="3">
        <v>502</v>
      </c>
    </row>
    <row r="143" spans="1:15" hidden="1" x14ac:dyDescent="0.3">
      <c r="A143" s="3" t="s">
        <v>72</v>
      </c>
      <c r="B143" s="3" t="s">
        <v>9</v>
      </c>
      <c r="C143" s="2" t="s">
        <v>45</v>
      </c>
      <c r="D143" s="3">
        <v>9</v>
      </c>
      <c r="E143" s="3" t="s">
        <v>19</v>
      </c>
      <c r="F143" s="3" t="str">
        <f t="shared" si="4"/>
        <v>SUT-FT-INV-09</v>
      </c>
      <c r="G143" s="3" t="s">
        <v>248</v>
      </c>
      <c r="H143" s="3">
        <v>272.16000000000003</v>
      </c>
      <c r="I143" s="3" t="s">
        <v>35</v>
      </c>
      <c r="J143" s="3" t="s">
        <v>21</v>
      </c>
      <c r="K143" s="3" t="s">
        <v>377</v>
      </c>
      <c r="M143" s="3" t="s">
        <v>315</v>
      </c>
      <c r="N143" s="3">
        <v>13</v>
      </c>
      <c r="O143" s="3">
        <v>502</v>
      </c>
    </row>
    <row r="144" spans="1:15" hidden="1" x14ac:dyDescent="0.3">
      <c r="A144" s="3" t="s">
        <v>72</v>
      </c>
      <c r="B144" s="3" t="s">
        <v>9</v>
      </c>
      <c r="C144" s="2" t="s">
        <v>45</v>
      </c>
      <c r="D144" s="3">
        <v>10</v>
      </c>
      <c r="E144" s="3" t="s">
        <v>19</v>
      </c>
      <c r="F144" s="3" t="str">
        <f t="shared" si="4"/>
        <v>SUT-FT-INV-10</v>
      </c>
      <c r="G144" s="3" t="s">
        <v>249</v>
      </c>
      <c r="H144" s="3">
        <v>263.52</v>
      </c>
      <c r="I144" s="3" t="s">
        <v>35</v>
      </c>
      <c r="J144" s="3" t="s">
        <v>21</v>
      </c>
      <c r="K144" s="3" t="s">
        <v>377</v>
      </c>
      <c r="M144" s="3" t="s">
        <v>315</v>
      </c>
      <c r="N144" s="3">
        <v>6</v>
      </c>
      <c r="O144" s="3">
        <v>502</v>
      </c>
    </row>
    <row r="145" spans="1:15" hidden="1" x14ac:dyDescent="0.3">
      <c r="A145" s="3" t="s">
        <v>72</v>
      </c>
      <c r="B145" s="3" t="s">
        <v>9</v>
      </c>
      <c r="C145" s="2" t="s">
        <v>45</v>
      </c>
      <c r="D145" s="3">
        <v>11</v>
      </c>
      <c r="E145" s="3" t="s">
        <v>19</v>
      </c>
      <c r="F145" s="3" t="str">
        <f t="shared" si="4"/>
        <v>SUT-FT-INV-11</v>
      </c>
      <c r="G145" s="3" t="s">
        <v>250</v>
      </c>
      <c r="H145" s="3">
        <v>272.16000000000003</v>
      </c>
      <c r="I145" s="3" t="s">
        <v>35</v>
      </c>
      <c r="J145" s="3" t="s">
        <v>21</v>
      </c>
      <c r="K145" s="3" t="s">
        <v>377</v>
      </c>
      <c r="M145" s="3" t="s">
        <v>315</v>
      </c>
      <c r="N145" s="3">
        <v>3</v>
      </c>
      <c r="O145" s="3">
        <v>502</v>
      </c>
    </row>
    <row r="146" spans="1:15" hidden="1" x14ac:dyDescent="0.3">
      <c r="A146" s="3" t="s">
        <v>72</v>
      </c>
      <c r="B146" s="3" t="s">
        <v>9</v>
      </c>
      <c r="C146" s="2" t="s">
        <v>45</v>
      </c>
      <c r="D146" s="3">
        <v>12</v>
      </c>
      <c r="E146" s="3" t="s">
        <v>19</v>
      </c>
      <c r="F146" s="3" t="str">
        <f t="shared" si="4"/>
        <v>SUT-FT-INV-12</v>
      </c>
      <c r="G146" s="3" t="s">
        <v>251</v>
      </c>
      <c r="H146" s="3">
        <v>272.16000000000003</v>
      </c>
      <c r="I146" s="3" t="s">
        <v>35</v>
      </c>
      <c r="J146" s="3" t="s">
        <v>21</v>
      </c>
      <c r="K146" s="3" t="s">
        <v>377</v>
      </c>
      <c r="M146" s="3" t="s">
        <v>315</v>
      </c>
      <c r="N146" s="3">
        <v>14</v>
      </c>
      <c r="O146" s="3">
        <v>502</v>
      </c>
    </row>
    <row r="147" spans="1:15" hidden="1" x14ac:dyDescent="0.3">
      <c r="A147" s="3" t="s">
        <v>72</v>
      </c>
      <c r="B147" s="3" t="s">
        <v>9</v>
      </c>
      <c r="C147" s="2" t="s">
        <v>45</v>
      </c>
      <c r="D147" s="3">
        <v>13</v>
      </c>
      <c r="E147" s="3" t="s">
        <v>19</v>
      </c>
      <c r="F147" s="3" t="str">
        <f t="shared" si="4"/>
        <v>SUT-FT-INV-13</v>
      </c>
      <c r="G147" s="3" t="s">
        <v>252</v>
      </c>
      <c r="H147" s="3">
        <v>272.16000000000003</v>
      </c>
      <c r="I147" s="3" t="s">
        <v>35</v>
      </c>
      <c r="J147" s="3" t="s">
        <v>21</v>
      </c>
      <c r="K147" s="3" t="s">
        <v>377</v>
      </c>
      <c r="M147" s="3" t="s">
        <v>315</v>
      </c>
      <c r="N147" s="3">
        <v>17</v>
      </c>
      <c r="O147" s="3">
        <v>502</v>
      </c>
    </row>
    <row r="148" spans="1:15" hidden="1" x14ac:dyDescent="0.3">
      <c r="A148" s="3" t="s">
        <v>72</v>
      </c>
      <c r="B148" s="3" t="s">
        <v>9</v>
      </c>
      <c r="C148" s="2" t="s">
        <v>45</v>
      </c>
      <c r="D148" s="3">
        <v>14</v>
      </c>
      <c r="E148" s="3" t="s">
        <v>19</v>
      </c>
      <c r="F148" s="3" t="str">
        <f t="shared" si="4"/>
        <v>SUT-FT-INV-14</v>
      </c>
      <c r="G148" s="3" t="s">
        <v>253</v>
      </c>
      <c r="H148" s="3">
        <v>272.16000000000003</v>
      </c>
      <c r="I148" s="3" t="s">
        <v>35</v>
      </c>
      <c r="J148" s="3" t="s">
        <v>21</v>
      </c>
      <c r="K148" s="3" t="s">
        <v>377</v>
      </c>
      <c r="M148" s="3" t="s">
        <v>315</v>
      </c>
      <c r="N148" s="3">
        <v>8</v>
      </c>
      <c r="O148" s="3">
        <v>502</v>
      </c>
    </row>
    <row r="149" spans="1:15" hidden="1" x14ac:dyDescent="0.3">
      <c r="A149" s="3" t="s">
        <v>72</v>
      </c>
      <c r="B149" s="3" t="s">
        <v>9</v>
      </c>
      <c r="C149" s="2" t="s">
        <v>45</v>
      </c>
      <c r="D149" s="3">
        <v>15</v>
      </c>
      <c r="E149" s="3" t="s">
        <v>19</v>
      </c>
      <c r="F149" s="3" t="str">
        <f t="shared" si="4"/>
        <v>SUT-FT-INV-15</v>
      </c>
      <c r="G149" s="3" t="s">
        <v>254</v>
      </c>
      <c r="H149" s="3">
        <v>272.16000000000003</v>
      </c>
      <c r="I149" s="3" t="s">
        <v>35</v>
      </c>
      <c r="J149" s="3" t="s">
        <v>21</v>
      </c>
      <c r="K149" s="3" t="s">
        <v>377</v>
      </c>
      <c r="M149" s="3" t="s">
        <v>315</v>
      </c>
      <c r="N149" s="3">
        <v>12</v>
      </c>
      <c r="O149" s="3">
        <v>502</v>
      </c>
    </row>
    <row r="150" spans="1:15" hidden="1" x14ac:dyDescent="0.3">
      <c r="A150" s="3" t="s">
        <v>72</v>
      </c>
      <c r="B150" s="3" t="s">
        <v>9</v>
      </c>
      <c r="C150" s="2" t="s">
        <v>45</v>
      </c>
      <c r="D150" s="3">
        <v>16</v>
      </c>
      <c r="E150" s="3" t="s">
        <v>19</v>
      </c>
      <c r="F150" s="3" t="str">
        <f t="shared" si="4"/>
        <v>SUT-FT-INV-16</v>
      </c>
      <c r="G150" s="3" t="s">
        <v>255</v>
      </c>
      <c r="H150" s="3">
        <v>272.16000000000003</v>
      </c>
      <c r="I150" s="3" t="s">
        <v>35</v>
      </c>
      <c r="J150" s="3" t="s">
        <v>21</v>
      </c>
      <c r="K150" s="3" t="s">
        <v>377</v>
      </c>
      <c r="M150" s="3" t="s">
        <v>315</v>
      </c>
      <c r="N150" s="3">
        <v>16</v>
      </c>
      <c r="O150" s="3">
        <v>502</v>
      </c>
    </row>
    <row r="151" spans="1:15" hidden="1" x14ac:dyDescent="0.3">
      <c r="A151" s="3" t="s">
        <v>72</v>
      </c>
      <c r="B151" s="3" t="s">
        <v>9</v>
      </c>
      <c r="C151" s="2" t="s">
        <v>77</v>
      </c>
      <c r="D151" s="3">
        <v>1</v>
      </c>
      <c r="E151" s="3" t="s">
        <v>19</v>
      </c>
      <c r="F151" s="3" t="str">
        <f t="shared" si="4"/>
        <v>SUT-F12-INV-01</v>
      </c>
      <c r="G151" s="3" t="s">
        <v>256</v>
      </c>
      <c r="H151" s="3">
        <v>138.24</v>
      </c>
      <c r="I151" s="3" t="s">
        <v>35</v>
      </c>
      <c r="J151" s="3" t="s">
        <v>21</v>
      </c>
      <c r="K151" s="3" t="s">
        <v>369</v>
      </c>
      <c r="M151" s="3" t="s">
        <v>321</v>
      </c>
      <c r="N151" s="3">
        <v>1</v>
      </c>
      <c r="O151" s="3">
        <v>502</v>
      </c>
    </row>
    <row r="152" spans="1:15" hidden="1" x14ac:dyDescent="0.3">
      <c r="A152" s="3" t="s">
        <v>72</v>
      </c>
      <c r="B152" s="3" t="s">
        <v>9</v>
      </c>
      <c r="C152" s="2" t="s">
        <v>77</v>
      </c>
      <c r="D152" s="3">
        <v>2</v>
      </c>
      <c r="E152" s="3" t="s">
        <v>19</v>
      </c>
      <c r="F152" s="3" t="str">
        <f t="shared" si="4"/>
        <v>SUT-F12-INV-02</v>
      </c>
      <c r="G152" s="3" t="s">
        <v>257</v>
      </c>
      <c r="H152" s="3">
        <v>138.24</v>
      </c>
      <c r="I152" s="3" t="s">
        <v>35</v>
      </c>
      <c r="J152" s="3" t="s">
        <v>21</v>
      </c>
      <c r="K152" s="3" t="s">
        <v>369</v>
      </c>
      <c r="M152" s="3" t="s">
        <v>321</v>
      </c>
      <c r="N152" s="3">
        <v>2</v>
      </c>
      <c r="O152" s="3">
        <v>502</v>
      </c>
    </row>
    <row r="153" spans="1:15" hidden="1" x14ac:dyDescent="0.3">
      <c r="A153" s="3" t="s">
        <v>72</v>
      </c>
      <c r="B153" s="3" t="s">
        <v>9</v>
      </c>
      <c r="C153" s="2" t="s">
        <v>77</v>
      </c>
      <c r="D153" s="3">
        <v>3</v>
      </c>
      <c r="E153" s="3" t="s">
        <v>19</v>
      </c>
      <c r="F153" s="3" t="str">
        <f t="shared" si="4"/>
        <v>SUT-F12-INV-03</v>
      </c>
      <c r="G153" s="3" t="s">
        <v>258</v>
      </c>
      <c r="H153" s="3">
        <v>138.24</v>
      </c>
      <c r="I153" s="3" t="s">
        <v>35</v>
      </c>
      <c r="J153" s="3" t="s">
        <v>21</v>
      </c>
      <c r="K153" s="3" t="s">
        <v>369</v>
      </c>
      <c r="M153" s="3" t="s">
        <v>321</v>
      </c>
      <c r="N153" s="3">
        <v>3</v>
      </c>
      <c r="O153" s="3">
        <v>502</v>
      </c>
    </row>
    <row r="154" spans="1:15" hidden="1" x14ac:dyDescent="0.3">
      <c r="A154" s="3" t="s">
        <v>72</v>
      </c>
      <c r="B154" s="3" t="s">
        <v>9</v>
      </c>
      <c r="C154" s="2" t="s">
        <v>76</v>
      </c>
      <c r="D154" s="3">
        <v>1</v>
      </c>
      <c r="E154" s="3" t="s">
        <v>19</v>
      </c>
      <c r="F154" s="3" t="str">
        <f t="shared" si="4"/>
        <v>SUT-F10-INV-01</v>
      </c>
      <c r="G154" s="3" t="s">
        <v>259</v>
      </c>
      <c r="H154" s="3">
        <v>116.64</v>
      </c>
      <c r="I154" s="3" t="s">
        <v>35</v>
      </c>
      <c r="J154" s="3" t="s">
        <v>21</v>
      </c>
      <c r="K154" s="3" t="s">
        <v>369</v>
      </c>
      <c r="M154" s="3" t="s">
        <v>321</v>
      </c>
      <c r="N154" s="3">
        <v>4</v>
      </c>
      <c r="O154" s="3">
        <v>502</v>
      </c>
    </row>
    <row r="155" spans="1:15" hidden="1" x14ac:dyDescent="0.3">
      <c r="A155" s="3" t="s">
        <v>72</v>
      </c>
      <c r="B155" s="3" t="s">
        <v>9</v>
      </c>
      <c r="C155" s="2" t="s">
        <v>79</v>
      </c>
      <c r="D155" s="3">
        <v>1</v>
      </c>
      <c r="E155" s="3" t="s">
        <v>19</v>
      </c>
      <c r="F155" s="3" t="str">
        <f t="shared" si="4"/>
        <v>SUT-SV5-INV-01</v>
      </c>
      <c r="G155" s="3" t="s">
        <v>226</v>
      </c>
      <c r="H155" s="3">
        <v>138.24</v>
      </c>
      <c r="I155" s="3" t="s">
        <v>35</v>
      </c>
      <c r="J155" s="3" t="s">
        <v>21</v>
      </c>
      <c r="K155" s="3" t="s">
        <v>369</v>
      </c>
      <c r="M155" s="3" t="s">
        <v>322</v>
      </c>
      <c r="N155" s="3">
        <v>8</v>
      </c>
      <c r="O155" s="3">
        <v>502</v>
      </c>
    </row>
    <row r="156" spans="1:15" hidden="1" x14ac:dyDescent="0.3">
      <c r="A156" s="3" t="s">
        <v>72</v>
      </c>
      <c r="B156" s="3" t="s">
        <v>9</v>
      </c>
      <c r="C156" s="2" t="s">
        <v>73</v>
      </c>
      <c r="D156" s="3">
        <v>1</v>
      </c>
      <c r="E156" s="3" t="s">
        <v>63</v>
      </c>
      <c r="F156" s="3" t="str">
        <f t="shared" si="4"/>
        <v>SUT-CL1-PRY-01</v>
      </c>
      <c r="G156" s="3" t="s">
        <v>260</v>
      </c>
      <c r="K156" s="3"/>
      <c r="M156" s="3" t="s">
        <v>321</v>
      </c>
      <c r="N156" s="3">
        <v>24</v>
      </c>
      <c r="O156" s="3">
        <v>502</v>
      </c>
    </row>
    <row r="157" spans="1:15" hidden="1" x14ac:dyDescent="0.3">
      <c r="A157" s="3" t="s">
        <v>72</v>
      </c>
      <c r="B157" s="3" t="s">
        <v>9</v>
      </c>
      <c r="C157" s="2" t="s">
        <v>45</v>
      </c>
      <c r="D157" s="3">
        <v>1</v>
      </c>
      <c r="E157" s="3" t="s">
        <v>63</v>
      </c>
      <c r="F157" s="3" t="str">
        <f t="shared" si="4"/>
        <v>SUT-FT-PRY-01</v>
      </c>
      <c r="G157" s="3" t="s">
        <v>261</v>
      </c>
      <c r="K157" s="3"/>
      <c r="M157" s="3" t="s">
        <v>315</v>
      </c>
      <c r="N157" s="3">
        <v>18</v>
      </c>
      <c r="O157" s="3">
        <v>502</v>
      </c>
    </row>
    <row r="158" spans="1:15" hidden="1" x14ac:dyDescent="0.3">
      <c r="A158" s="3" t="s">
        <v>72</v>
      </c>
      <c r="B158" s="3" t="s">
        <v>9</v>
      </c>
      <c r="C158" s="2" t="s">
        <v>285</v>
      </c>
      <c r="D158" s="3">
        <v>1</v>
      </c>
      <c r="E158" s="3" t="s">
        <v>23</v>
      </c>
      <c r="F158" s="3" t="str">
        <f t="shared" ref="F158" si="5">B158&amp;"-"&amp;IF(C158="","",C158&amp;"-")&amp;IF(E158="Inverter","INV",IF(E158="Pyranometer","PRY",IF(E158="Revenue Meter","REV",IF(E158="Grid Meter","GMT","recheck"))))&amp;"-"&amp;TEXT(D158,"00")</f>
        <v>SUT-115KV-GMT-01</v>
      </c>
      <c r="G158" s="3" t="s">
        <v>286</v>
      </c>
      <c r="K158" s="3"/>
      <c r="M158" s="3" t="s">
        <v>322</v>
      </c>
      <c r="N158" s="3">
        <v>1</v>
      </c>
      <c r="O158" s="3">
        <v>502</v>
      </c>
    </row>
    <row r="159" spans="1:15" hidden="1" x14ac:dyDescent="0.3">
      <c r="A159" s="3" t="s">
        <v>80</v>
      </c>
      <c r="B159" s="3" t="s">
        <v>10</v>
      </c>
      <c r="D159" s="3">
        <v>1</v>
      </c>
      <c r="E159" s="3" t="s">
        <v>19</v>
      </c>
      <c r="F159" s="3" t="str">
        <f t="shared" si="4"/>
        <v>PTIC-INV-01</v>
      </c>
      <c r="G159" s="3" t="s">
        <v>146</v>
      </c>
      <c r="H159" s="3">
        <v>124.26</v>
      </c>
      <c r="I159" s="3" t="s">
        <v>35</v>
      </c>
      <c r="J159" s="3" t="s">
        <v>21</v>
      </c>
      <c r="K159" s="3" t="s">
        <v>369</v>
      </c>
      <c r="M159" s="3" t="s">
        <v>303</v>
      </c>
      <c r="N159" s="3">
        <v>12</v>
      </c>
      <c r="O159" s="3">
        <v>502</v>
      </c>
    </row>
    <row r="160" spans="1:15" hidden="1" x14ac:dyDescent="0.3">
      <c r="A160" s="3" t="s">
        <v>80</v>
      </c>
      <c r="B160" s="3" t="s">
        <v>10</v>
      </c>
      <c r="D160" s="3">
        <v>2</v>
      </c>
      <c r="E160" s="3" t="s">
        <v>19</v>
      </c>
      <c r="F160" s="3" t="str">
        <f t="shared" si="4"/>
        <v>PTIC-INV-02</v>
      </c>
      <c r="G160" s="3" t="s">
        <v>147</v>
      </c>
      <c r="H160" s="3">
        <v>113.36</v>
      </c>
      <c r="I160" s="3" t="s">
        <v>35</v>
      </c>
      <c r="J160" s="3" t="s">
        <v>21</v>
      </c>
      <c r="K160" s="3" t="s">
        <v>369</v>
      </c>
      <c r="M160" s="3" t="s">
        <v>303</v>
      </c>
      <c r="N160" s="3">
        <v>11</v>
      </c>
      <c r="O160" s="3">
        <v>502</v>
      </c>
    </row>
    <row r="161" spans="1:15" hidden="1" x14ac:dyDescent="0.3">
      <c r="A161" s="3" t="s">
        <v>80</v>
      </c>
      <c r="B161" s="3" t="s">
        <v>10</v>
      </c>
      <c r="D161" s="3">
        <v>1</v>
      </c>
      <c r="E161" s="3" t="s">
        <v>63</v>
      </c>
      <c r="F161" s="3" t="str">
        <f t="shared" si="4"/>
        <v>PTIC-PRY-01</v>
      </c>
      <c r="G161" s="3" t="s">
        <v>63</v>
      </c>
      <c r="K161" s="3"/>
      <c r="M161" s="3" t="s">
        <v>303</v>
      </c>
      <c r="N161" s="3">
        <v>14</v>
      </c>
      <c r="O161" s="3">
        <v>502</v>
      </c>
    </row>
    <row r="162" spans="1:15" hidden="1" x14ac:dyDescent="0.3">
      <c r="A162" s="3" t="s">
        <v>80</v>
      </c>
      <c r="B162" s="3" t="s">
        <v>10</v>
      </c>
      <c r="D162" s="3">
        <v>1</v>
      </c>
      <c r="E162" s="3" t="s">
        <v>64</v>
      </c>
      <c r="F162" s="3" t="str">
        <f t="shared" si="4"/>
        <v>PTIC-REV-01</v>
      </c>
      <c r="G162" s="3" t="s">
        <v>64</v>
      </c>
      <c r="J162" s="2" t="s">
        <v>362</v>
      </c>
      <c r="K162" s="2" t="s">
        <v>361</v>
      </c>
      <c r="L162" s="3">
        <v>251508494</v>
      </c>
      <c r="M162" s="3" t="s">
        <v>313</v>
      </c>
      <c r="N162" s="3">
        <v>1</v>
      </c>
      <c r="O162" s="3">
        <v>502</v>
      </c>
    </row>
    <row r="163" spans="1:15" hidden="1" x14ac:dyDescent="0.3">
      <c r="A163" s="3" t="s">
        <v>80</v>
      </c>
      <c r="B163" s="3" t="s">
        <v>10</v>
      </c>
      <c r="D163" s="3">
        <v>1</v>
      </c>
      <c r="E163" s="3" t="s">
        <v>23</v>
      </c>
      <c r="F163" s="3" t="str">
        <f t="shared" ref="F163" si="6">B163&amp;"-"&amp;IF(C163="","",C163&amp;"-")&amp;IF(E163="Inverter","INV",IF(E163="Pyranometer","PRY",IF(E163="Revenue Meter","REV",IF(E163="Grid Meter","GMT","recheck"))))&amp;"-"&amp;TEXT(D163,"00")</f>
        <v>PTIC-GMT-01</v>
      </c>
      <c r="G163" s="3" t="s">
        <v>287</v>
      </c>
      <c r="K163" s="3"/>
      <c r="M163" s="3" t="s">
        <v>303</v>
      </c>
      <c r="N163" s="3">
        <v>10</v>
      </c>
      <c r="O163" s="3">
        <v>502</v>
      </c>
    </row>
    <row r="164" spans="1:15" x14ac:dyDescent="0.3">
      <c r="A164" s="3" t="s">
        <v>81</v>
      </c>
      <c r="B164" s="3" t="s">
        <v>11</v>
      </c>
      <c r="D164" s="3">
        <v>1</v>
      </c>
      <c r="E164" s="3" t="s">
        <v>19</v>
      </c>
      <c r="F164" s="3" t="str">
        <f t="shared" si="4"/>
        <v>RASC-INV-01</v>
      </c>
      <c r="G164" s="3" t="s">
        <v>146</v>
      </c>
      <c r="H164" s="3">
        <v>116.64</v>
      </c>
      <c r="I164" s="3" t="s">
        <v>35</v>
      </c>
      <c r="J164" s="3" t="s">
        <v>21</v>
      </c>
      <c r="K164" s="3" t="s">
        <v>369</v>
      </c>
      <c r="M164" s="3" t="s">
        <v>303</v>
      </c>
      <c r="N164" s="3">
        <v>3</v>
      </c>
      <c r="O164" s="3">
        <v>502</v>
      </c>
    </row>
    <row r="165" spans="1:15" x14ac:dyDescent="0.3">
      <c r="A165" s="3" t="s">
        <v>81</v>
      </c>
      <c r="B165" s="3" t="s">
        <v>11</v>
      </c>
      <c r="D165" s="3">
        <v>2</v>
      </c>
      <c r="E165" s="3" t="s">
        <v>19</v>
      </c>
      <c r="F165" s="3" t="str">
        <f t="shared" si="4"/>
        <v>RASC-INV-02</v>
      </c>
      <c r="G165" s="3" t="s">
        <v>147</v>
      </c>
      <c r="H165" s="3">
        <v>116.64</v>
      </c>
      <c r="I165" s="3" t="s">
        <v>35</v>
      </c>
      <c r="J165" s="3" t="s">
        <v>21</v>
      </c>
      <c r="K165" s="3" t="s">
        <v>369</v>
      </c>
      <c r="M165" s="3" t="s">
        <v>303</v>
      </c>
      <c r="N165" s="3">
        <v>14</v>
      </c>
      <c r="O165" s="3">
        <v>502</v>
      </c>
    </row>
    <row r="166" spans="1:15" x14ac:dyDescent="0.3">
      <c r="A166" s="3" t="s">
        <v>81</v>
      </c>
      <c r="B166" s="3" t="s">
        <v>11</v>
      </c>
      <c r="D166" s="3">
        <v>3</v>
      </c>
      <c r="E166" s="3" t="s">
        <v>19</v>
      </c>
      <c r="F166" s="3" t="str">
        <f t="shared" si="4"/>
        <v>RASC-INV-03</v>
      </c>
      <c r="G166" s="3" t="s">
        <v>148</v>
      </c>
      <c r="H166" s="3">
        <v>48.6</v>
      </c>
      <c r="I166" s="3" t="s">
        <v>35</v>
      </c>
      <c r="J166" s="3" t="s">
        <v>21</v>
      </c>
      <c r="K166" s="3" t="s">
        <v>370</v>
      </c>
      <c r="M166" s="3" t="s">
        <v>303</v>
      </c>
      <c r="N166" s="3">
        <v>2</v>
      </c>
      <c r="O166" s="3">
        <v>502</v>
      </c>
    </row>
    <row r="167" spans="1:15" hidden="1" x14ac:dyDescent="0.3">
      <c r="A167" s="3" t="s">
        <v>81</v>
      </c>
      <c r="B167" s="3" t="s">
        <v>11</v>
      </c>
      <c r="D167" s="3">
        <v>1</v>
      </c>
      <c r="E167" s="3" t="s">
        <v>63</v>
      </c>
      <c r="F167" s="3" t="str">
        <f t="shared" si="4"/>
        <v>RASC-PRY-01</v>
      </c>
      <c r="G167" s="3" t="s">
        <v>63</v>
      </c>
      <c r="K167" s="3"/>
      <c r="M167" s="3" t="s">
        <v>303</v>
      </c>
      <c r="N167" s="3">
        <v>13</v>
      </c>
      <c r="O167" s="3">
        <v>502</v>
      </c>
    </row>
    <row r="168" spans="1:15" hidden="1" x14ac:dyDescent="0.3">
      <c r="A168" s="3" t="s">
        <v>81</v>
      </c>
      <c r="B168" s="3" t="s">
        <v>11</v>
      </c>
      <c r="D168" s="3">
        <v>1</v>
      </c>
      <c r="E168" s="3" t="s">
        <v>64</v>
      </c>
      <c r="F168" s="3" t="str">
        <f t="shared" si="4"/>
        <v>RASC-REV-01</v>
      </c>
      <c r="G168" s="3" t="s">
        <v>64</v>
      </c>
      <c r="J168" s="2" t="s">
        <v>362</v>
      </c>
      <c r="K168" s="2" t="s">
        <v>361</v>
      </c>
      <c r="L168" s="3">
        <v>251508563</v>
      </c>
      <c r="M168" s="3" t="s">
        <v>312</v>
      </c>
      <c r="N168" s="3">
        <v>1</v>
      </c>
      <c r="O168" s="3">
        <v>502</v>
      </c>
    </row>
    <row r="169" spans="1:15" x14ac:dyDescent="0.3">
      <c r="A169" s="3" t="s">
        <v>81</v>
      </c>
      <c r="B169" s="3" t="s">
        <v>11</v>
      </c>
      <c r="D169" s="3">
        <v>1</v>
      </c>
      <c r="E169" s="3" t="s">
        <v>23</v>
      </c>
      <c r="F169" s="3" t="str">
        <f t="shared" ref="F169" si="7">B169&amp;"-"&amp;IF(C169="","",C169&amp;"-")&amp;IF(E169="Inverter","INV",IF(E169="Pyranometer","PRY",IF(E169="Revenue Meter","REV",IF(E169="Grid Meter","GMT","recheck"))))&amp;"-"&amp;TEXT(D169,"00")</f>
        <v>RASC-GMT-01</v>
      </c>
      <c r="G169" s="3" t="s">
        <v>23</v>
      </c>
      <c r="K169" s="3"/>
      <c r="M169" s="3" t="s">
        <v>303</v>
      </c>
      <c r="N169" s="3">
        <v>12</v>
      </c>
      <c r="O169" s="3">
        <v>502</v>
      </c>
    </row>
    <row r="170" spans="1:15" hidden="1" x14ac:dyDescent="0.3">
      <c r="A170" s="3" t="s">
        <v>13</v>
      </c>
      <c r="B170" s="3" t="s">
        <v>82</v>
      </c>
      <c r="C170" s="2" t="s">
        <v>83</v>
      </c>
      <c r="D170" s="3">
        <v>1</v>
      </c>
      <c r="E170" s="3" t="s">
        <v>19</v>
      </c>
      <c r="F170" s="3" t="str">
        <f t="shared" si="4"/>
        <v>ENT-MS1-INV-01</v>
      </c>
      <c r="G170" s="3" t="s">
        <v>146</v>
      </c>
      <c r="H170" s="3">
        <v>55</v>
      </c>
      <c r="I170" s="3" t="s">
        <v>35</v>
      </c>
      <c r="J170" s="3" t="s">
        <v>21</v>
      </c>
      <c r="K170" s="3" t="s">
        <v>358</v>
      </c>
      <c r="M170" s="3" t="s">
        <v>303</v>
      </c>
      <c r="N170" s="3">
        <v>5</v>
      </c>
      <c r="O170" s="3">
        <v>502</v>
      </c>
    </row>
    <row r="171" spans="1:15" hidden="1" x14ac:dyDescent="0.3">
      <c r="A171" s="3" t="s">
        <v>13</v>
      </c>
      <c r="B171" s="3" t="s">
        <v>82</v>
      </c>
      <c r="C171" s="2" t="s">
        <v>83</v>
      </c>
      <c r="D171" s="3">
        <v>2</v>
      </c>
      <c r="E171" s="3" t="s">
        <v>19</v>
      </c>
      <c r="F171" s="3" t="str">
        <f t="shared" si="4"/>
        <v>ENT-MS1-INV-02</v>
      </c>
      <c r="G171" s="3" t="s">
        <v>147</v>
      </c>
      <c r="H171" s="3">
        <v>53.9</v>
      </c>
      <c r="I171" s="3" t="s">
        <v>35</v>
      </c>
      <c r="J171" s="3" t="s">
        <v>21</v>
      </c>
      <c r="K171" s="3" t="s">
        <v>358</v>
      </c>
      <c r="M171" s="3" t="s">
        <v>303</v>
      </c>
      <c r="N171" s="3">
        <v>6</v>
      </c>
      <c r="O171" s="3">
        <v>502</v>
      </c>
    </row>
    <row r="172" spans="1:15" hidden="1" x14ac:dyDescent="0.3">
      <c r="A172" s="3" t="s">
        <v>13</v>
      </c>
      <c r="B172" s="3" t="s">
        <v>82</v>
      </c>
      <c r="C172" s="2" t="s">
        <v>84</v>
      </c>
      <c r="D172" s="3">
        <v>3</v>
      </c>
      <c r="E172" s="3" t="s">
        <v>19</v>
      </c>
      <c r="F172" s="3" t="str">
        <f t="shared" si="4"/>
        <v>ENT-MS2-INV-03</v>
      </c>
      <c r="G172" s="3" t="s">
        <v>148</v>
      </c>
      <c r="H172" s="3">
        <v>66</v>
      </c>
      <c r="I172" s="3" t="s">
        <v>35</v>
      </c>
      <c r="J172" s="3" t="s">
        <v>21</v>
      </c>
      <c r="K172" s="3" t="s">
        <v>358</v>
      </c>
      <c r="M172" s="3" t="s">
        <v>303</v>
      </c>
      <c r="N172" s="3">
        <v>7</v>
      </c>
      <c r="O172" s="3">
        <v>502</v>
      </c>
    </row>
    <row r="173" spans="1:15" hidden="1" x14ac:dyDescent="0.3">
      <c r="A173" s="3" t="s">
        <v>13</v>
      </c>
      <c r="B173" s="3" t="s">
        <v>82</v>
      </c>
      <c r="C173" s="2" t="s">
        <v>31</v>
      </c>
      <c r="D173" s="3">
        <v>4</v>
      </c>
      <c r="E173" s="3" t="s">
        <v>19</v>
      </c>
      <c r="F173" s="3" t="str">
        <f t="shared" si="4"/>
        <v>ENT-CP1-INV-04</v>
      </c>
      <c r="G173" s="3" t="s">
        <v>149</v>
      </c>
      <c r="H173" s="3">
        <v>67.099999999999994</v>
      </c>
      <c r="I173" s="3" t="s">
        <v>35</v>
      </c>
      <c r="J173" s="3" t="s">
        <v>21</v>
      </c>
      <c r="K173" s="3" t="s">
        <v>358</v>
      </c>
      <c r="M173" s="3" t="s">
        <v>303</v>
      </c>
      <c r="N173" s="3">
        <v>8</v>
      </c>
      <c r="O173" s="3">
        <v>502</v>
      </c>
    </row>
    <row r="174" spans="1:15" hidden="1" x14ac:dyDescent="0.3">
      <c r="A174" s="3" t="s">
        <v>13</v>
      </c>
      <c r="B174" s="3" t="s">
        <v>82</v>
      </c>
      <c r="C174" s="2" t="s">
        <v>32</v>
      </c>
      <c r="D174" s="3">
        <v>5</v>
      </c>
      <c r="E174" s="3" t="s">
        <v>19</v>
      </c>
      <c r="F174" s="3" t="str">
        <f t="shared" si="4"/>
        <v>ENT-CP2-INV-05</v>
      </c>
      <c r="G174" s="3" t="s">
        <v>150</v>
      </c>
      <c r="H174" s="3">
        <v>59.4</v>
      </c>
      <c r="I174" s="3" t="s">
        <v>35</v>
      </c>
      <c r="J174" s="3" t="s">
        <v>21</v>
      </c>
      <c r="K174" s="3" t="s">
        <v>358</v>
      </c>
      <c r="M174" s="3" t="s">
        <v>303</v>
      </c>
      <c r="N174" s="3">
        <v>9</v>
      </c>
      <c r="O174" s="3">
        <v>502</v>
      </c>
    </row>
    <row r="175" spans="1:15" hidden="1" x14ac:dyDescent="0.3">
      <c r="A175" s="3" t="s">
        <v>13</v>
      </c>
      <c r="B175" s="3" t="s">
        <v>82</v>
      </c>
      <c r="C175" s="2" t="s">
        <v>32</v>
      </c>
      <c r="D175" s="3">
        <v>6</v>
      </c>
      <c r="E175" s="3" t="s">
        <v>19</v>
      </c>
      <c r="F175" s="3" t="str">
        <f t="shared" si="4"/>
        <v>ENT-CP2-INV-06</v>
      </c>
      <c r="G175" s="3" t="s">
        <v>151</v>
      </c>
      <c r="H175" s="3">
        <v>59.4</v>
      </c>
      <c r="I175" s="3" t="s">
        <v>35</v>
      </c>
      <c r="J175" s="3" t="s">
        <v>21</v>
      </c>
      <c r="K175" s="3" t="s">
        <v>358</v>
      </c>
      <c r="M175" s="3" t="s">
        <v>303</v>
      </c>
      <c r="N175" s="3">
        <v>10</v>
      </c>
      <c r="O175" s="3">
        <v>502</v>
      </c>
    </row>
    <row r="176" spans="1:15" hidden="1" x14ac:dyDescent="0.3">
      <c r="A176" s="3" t="s">
        <v>13</v>
      </c>
      <c r="B176" s="3" t="s">
        <v>82</v>
      </c>
      <c r="C176" s="2" t="s">
        <v>32</v>
      </c>
      <c r="D176" s="3">
        <v>7</v>
      </c>
      <c r="E176" s="3" t="s">
        <v>19</v>
      </c>
      <c r="F176" s="3" t="str">
        <f t="shared" si="4"/>
        <v>ENT-CP2-INV-07</v>
      </c>
      <c r="G176" s="3" t="s">
        <v>152</v>
      </c>
      <c r="H176" s="3">
        <v>59.4</v>
      </c>
      <c r="I176" s="3" t="s">
        <v>35</v>
      </c>
      <c r="J176" s="3" t="s">
        <v>21</v>
      </c>
      <c r="K176" s="3" t="s">
        <v>358</v>
      </c>
      <c r="M176" s="3" t="s">
        <v>303</v>
      </c>
      <c r="N176" s="3">
        <v>11</v>
      </c>
      <c r="O176" s="3">
        <v>502</v>
      </c>
    </row>
    <row r="177" spans="1:15" hidden="1" x14ac:dyDescent="0.3">
      <c r="A177" s="3" t="s">
        <v>13</v>
      </c>
      <c r="B177" s="3" t="s">
        <v>82</v>
      </c>
      <c r="C177" s="2" t="s">
        <v>32</v>
      </c>
      <c r="D177" s="3">
        <v>8</v>
      </c>
      <c r="E177" s="3" t="s">
        <v>19</v>
      </c>
      <c r="F177" s="3" t="str">
        <f t="shared" si="4"/>
        <v>ENT-CP2-INV-08</v>
      </c>
      <c r="G177" s="3" t="s">
        <v>262</v>
      </c>
      <c r="H177" s="3">
        <v>59.4</v>
      </c>
      <c r="I177" s="3" t="s">
        <v>35</v>
      </c>
      <c r="J177" s="3" t="s">
        <v>21</v>
      </c>
      <c r="K177" s="3" t="s">
        <v>358</v>
      </c>
      <c r="M177" s="3" t="s">
        <v>303</v>
      </c>
      <c r="N177" s="3">
        <v>1</v>
      </c>
      <c r="O177" s="3">
        <v>502</v>
      </c>
    </row>
    <row r="178" spans="1:15" hidden="1" x14ac:dyDescent="0.3">
      <c r="A178" s="3" t="s">
        <v>13</v>
      </c>
      <c r="B178" s="3" t="s">
        <v>82</v>
      </c>
      <c r="C178" s="2" t="s">
        <v>85</v>
      </c>
      <c r="D178" s="3">
        <v>9</v>
      </c>
      <c r="E178" s="3" t="s">
        <v>19</v>
      </c>
      <c r="F178" s="3" t="str">
        <f t="shared" si="4"/>
        <v>ENT-EV-INV-09</v>
      </c>
      <c r="G178" s="3" t="s">
        <v>263</v>
      </c>
      <c r="H178" s="3">
        <v>68.2</v>
      </c>
      <c r="I178" s="3" t="s">
        <v>35</v>
      </c>
      <c r="J178" s="3" t="s">
        <v>21</v>
      </c>
      <c r="K178" s="3" t="s">
        <v>358</v>
      </c>
      <c r="M178" s="3" t="s">
        <v>303</v>
      </c>
      <c r="N178" s="3">
        <v>4</v>
      </c>
      <c r="O178" s="3">
        <v>502</v>
      </c>
    </row>
    <row r="179" spans="1:15" hidden="1" x14ac:dyDescent="0.3">
      <c r="A179" s="3" t="s">
        <v>13</v>
      </c>
      <c r="B179" s="3" t="s">
        <v>82</v>
      </c>
      <c r="C179" s="2" t="s">
        <v>83</v>
      </c>
      <c r="D179" s="3">
        <v>1</v>
      </c>
      <c r="E179" s="3" t="s">
        <v>64</v>
      </c>
      <c r="F179" s="3" t="str">
        <f t="shared" si="4"/>
        <v>ENT-MS1-REV-01</v>
      </c>
      <c r="G179" s="3" t="s">
        <v>219</v>
      </c>
      <c r="J179" s="2" t="s">
        <v>362</v>
      </c>
      <c r="K179" s="2" t="s">
        <v>361</v>
      </c>
      <c r="L179" s="3">
        <v>251508511</v>
      </c>
      <c r="M179" s="3" t="s">
        <v>306</v>
      </c>
      <c r="N179" s="3">
        <v>1</v>
      </c>
      <c r="O179" s="3">
        <v>502</v>
      </c>
    </row>
    <row r="180" spans="1:15" hidden="1" x14ac:dyDescent="0.3">
      <c r="A180" s="3" t="s">
        <v>13</v>
      </c>
      <c r="B180" s="3" t="s">
        <v>82</v>
      </c>
      <c r="C180" s="2" t="s">
        <v>84</v>
      </c>
      <c r="D180" s="3">
        <v>1</v>
      </c>
      <c r="E180" s="3" t="s">
        <v>64</v>
      </c>
      <c r="F180" s="3" t="str">
        <f t="shared" si="4"/>
        <v>ENT-MS2-REV-01</v>
      </c>
      <c r="G180" s="3" t="s">
        <v>368</v>
      </c>
      <c r="J180" s="2" t="s">
        <v>362</v>
      </c>
      <c r="K180" s="2" t="s">
        <v>361</v>
      </c>
      <c r="L180" s="3">
        <v>251508510</v>
      </c>
      <c r="M180" s="3" t="s">
        <v>307</v>
      </c>
      <c r="N180" s="3">
        <v>2</v>
      </c>
      <c r="O180" s="3">
        <v>502</v>
      </c>
    </row>
    <row r="181" spans="1:15" hidden="1" x14ac:dyDescent="0.3">
      <c r="A181" s="3" t="s">
        <v>13</v>
      </c>
      <c r="B181" s="3" t="s">
        <v>82</v>
      </c>
      <c r="D181" s="3">
        <v>1</v>
      </c>
      <c r="E181" s="3" t="s">
        <v>63</v>
      </c>
      <c r="F181" s="3" t="str">
        <f t="shared" si="4"/>
        <v>ENT-PRY-01</v>
      </c>
      <c r="G181" s="3" t="s">
        <v>63</v>
      </c>
      <c r="K181" s="3"/>
      <c r="M181" s="3" t="s">
        <v>303</v>
      </c>
      <c r="N181" s="3">
        <v>3</v>
      </c>
      <c r="O181" s="3">
        <v>502</v>
      </c>
    </row>
    <row r="182" spans="1:15" hidden="1" x14ac:dyDescent="0.3">
      <c r="A182" s="3" t="s">
        <v>13</v>
      </c>
      <c r="B182" s="3" t="s">
        <v>82</v>
      </c>
      <c r="D182" s="3">
        <v>1</v>
      </c>
      <c r="E182" s="3" t="s">
        <v>23</v>
      </c>
      <c r="F182" s="3" t="str">
        <f t="shared" ref="F182" si="8">B182&amp;"-"&amp;IF(C182="","",C182&amp;"-")&amp;IF(E182="Inverter","INV",IF(E182="Pyranometer","PRY",IF(E182="Revenue Meter","REV",IF(E182="Grid Meter","GMT","recheck"))))&amp;"-"&amp;TEXT(D182,"00")</f>
        <v>ENT-GMT-01</v>
      </c>
      <c r="G182" s="3" t="s">
        <v>23</v>
      </c>
      <c r="K182" s="3"/>
      <c r="M182" s="3" t="s">
        <v>303</v>
      </c>
      <c r="N182" s="3">
        <v>2</v>
      </c>
      <c r="O182" s="3">
        <v>502</v>
      </c>
    </row>
    <row r="183" spans="1:15" hidden="1" x14ac:dyDescent="0.3">
      <c r="A183" s="3" t="s">
        <v>87</v>
      </c>
      <c r="B183" s="3" t="s">
        <v>12</v>
      </c>
      <c r="C183" s="2" t="s">
        <v>88</v>
      </c>
      <c r="D183" s="3">
        <v>1</v>
      </c>
      <c r="E183" s="3" t="s">
        <v>19</v>
      </c>
      <c r="F183" s="3" t="str">
        <f t="shared" si="4"/>
        <v>INI-BP-INV-01</v>
      </c>
      <c r="G183" s="3" t="s">
        <v>109</v>
      </c>
      <c r="H183" s="3">
        <v>238.68</v>
      </c>
      <c r="I183" s="3" t="s">
        <v>35</v>
      </c>
      <c r="J183" s="3" t="s">
        <v>21</v>
      </c>
      <c r="K183" s="3" t="s">
        <v>371</v>
      </c>
      <c r="M183" s="3" t="s">
        <v>303</v>
      </c>
      <c r="N183" s="3">
        <v>4</v>
      </c>
      <c r="O183" s="3">
        <v>502</v>
      </c>
    </row>
    <row r="184" spans="1:15" hidden="1" x14ac:dyDescent="0.3">
      <c r="A184" s="3" t="s">
        <v>87</v>
      </c>
      <c r="B184" s="3" t="s">
        <v>12</v>
      </c>
      <c r="C184" s="2" t="s">
        <v>88</v>
      </c>
      <c r="D184" s="3">
        <v>2</v>
      </c>
      <c r="E184" s="3" t="s">
        <v>19</v>
      </c>
      <c r="F184" s="3" t="str">
        <f t="shared" si="4"/>
        <v>INI-BP-INV-02</v>
      </c>
      <c r="G184" s="3" t="s">
        <v>110</v>
      </c>
      <c r="H184" s="3">
        <v>238.68</v>
      </c>
      <c r="I184" s="3" t="s">
        <v>35</v>
      </c>
      <c r="J184" s="3" t="s">
        <v>21</v>
      </c>
      <c r="K184" s="3" t="s">
        <v>371</v>
      </c>
      <c r="M184" s="3" t="s">
        <v>303</v>
      </c>
      <c r="N184" s="3">
        <v>3</v>
      </c>
      <c r="O184" s="3">
        <v>502</v>
      </c>
    </row>
    <row r="185" spans="1:15" hidden="1" x14ac:dyDescent="0.3">
      <c r="A185" s="3" t="s">
        <v>87</v>
      </c>
      <c r="B185" s="3" t="s">
        <v>12</v>
      </c>
      <c r="C185" s="2" t="s">
        <v>88</v>
      </c>
      <c r="D185" s="3">
        <v>3</v>
      </c>
      <c r="E185" s="3" t="s">
        <v>19</v>
      </c>
      <c r="F185" s="3" t="str">
        <f t="shared" si="4"/>
        <v>INI-BP-INV-03</v>
      </c>
      <c r="G185" s="3" t="s">
        <v>111</v>
      </c>
      <c r="H185" s="3">
        <v>238.68</v>
      </c>
      <c r="I185" s="3" t="s">
        <v>35</v>
      </c>
      <c r="J185" s="3" t="s">
        <v>21</v>
      </c>
      <c r="K185" s="3" t="s">
        <v>371</v>
      </c>
      <c r="M185" s="3" t="s">
        <v>303</v>
      </c>
      <c r="N185" s="3">
        <v>14</v>
      </c>
      <c r="O185" s="3">
        <v>502</v>
      </c>
    </row>
    <row r="186" spans="1:15" hidden="1" x14ac:dyDescent="0.3">
      <c r="A186" s="3" t="s">
        <v>87</v>
      </c>
      <c r="B186" s="3" t="s">
        <v>12</v>
      </c>
      <c r="C186" s="2" t="s">
        <v>88</v>
      </c>
      <c r="D186" s="3">
        <v>4</v>
      </c>
      <c r="E186" s="3" t="s">
        <v>19</v>
      </c>
      <c r="F186" s="3" t="str">
        <f t="shared" si="4"/>
        <v>INI-BP-INV-04</v>
      </c>
      <c r="G186" s="3" t="s">
        <v>112</v>
      </c>
      <c r="H186" s="3">
        <v>229.5</v>
      </c>
      <c r="I186" s="3" t="s">
        <v>35</v>
      </c>
      <c r="J186" s="3" t="s">
        <v>21</v>
      </c>
      <c r="K186" s="3" t="s">
        <v>371</v>
      </c>
      <c r="M186" s="3" t="s">
        <v>303</v>
      </c>
      <c r="N186" s="3">
        <v>5</v>
      </c>
      <c r="O186" s="3">
        <v>502</v>
      </c>
    </row>
    <row r="187" spans="1:15" hidden="1" x14ac:dyDescent="0.3">
      <c r="A187" s="3" t="s">
        <v>87</v>
      </c>
      <c r="B187" s="3" t="s">
        <v>12</v>
      </c>
      <c r="C187" s="2" t="s">
        <v>89</v>
      </c>
      <c r="D187" s="3">
        <v>1</v>
      </c>
      <c r="E187" s="3" t="s">
        <v>19</v>
      </c>
      <c r="F187" s="3" t="str">
        <f t="shared" si="4"/>
        <v>INI-SP-INV-01</v>
      </c>
      <c r="G187" s="3" t="s">
        <v>113</v>
      </c>
      <c r="H187" s="3">
        <v>88.7</v>
      </c>
      <c r="I187" s="3" t="s">
        <v>35</v>
      </c>
      <c r="J187" s="3" t="s">
        <v>374</v>
      </c>
      <c r="K187" s="3" t="s">
        <v>373</v>
      </c>
      <c r="M187" s="3" t="s">
        <v>323</v>
      </c>
      <c r="N187" s="3">
        <v>1</v>
      </c>
      <c r="O187" s="3">
        <v>502</v>
      </c>
    </row>
    <row r="188" spans="1:15" hidden="1" x14ac:dyDescent="0.3">
      <c r="A188" s="3" t="s">
        <v>87</v>
      </c>
      <c r="B188" s="3" t="s">
        <v>12</v>
      </c>
      <c r="C188" s="2" t="s">
        <v>89</v>
      </c>
      <c r="D188" s="3">
        <v>2</v>
      </c>
      <c r="E188" s="3" t="s">
        <v>19</v>
      </c>
      <c r="F188" s="3" t="str">
        <f t="shared" si="4"/>
        <v>INI-SP-INV-02</v>
      </c>
      <c r="G188" s="3" t="s">
        <v>114</v>
      </c>
      <c r="H188" s="3">
        <v>88.7</v>
      </c>
      <c r="I188" s="3" t="s">
        <v>35</v>
      </c>
      <c r="J188" s="3" t="s">
        <v>374</v>
      </c>
      <c r="K188" s="3" t="s">
        <v>373</v>
      </c>
      <c r="M188" s="3" t="s">
        <v>323</v>
      </c>
      <c r="N188" s="3">
        <v>2</v>
      </c>
      <c r="O188" s="3">
        <v>502</v>
      </c>
    </row>
    <row r="189" spans="1:15" hidden="1" x14ac:dyDescent="0.3">
      <c r="A189" s="3" t="s">
        <v>87</v>
      </c>
      <c r="B189" s="3" t="s">
        <v>12</v>
      </c>
      <c r="C189" s="2" t="s">
        <v>89</v>
      </c>
      <c r="D189" s="3">
        <v>3</v>
      </c>
      <c r="E189" s="3" t="s">
        <v>19</v>
      </c>
      <c r="F189" s="3" t="str">
        <f t="shared" si="4"/>
        <v>INI-SP-INV-03</v>
      </c>
      <c r="G189" s="3" t="s">
        <v>115</v>
      </c>
      <c r="H189" s="3">
        <v>88.7</v>
      </c>
      <c r="I189" s="3" t="s">
        <v>35</v>
      </c>
      <c r="J189" s="3" t="s">
        <v>374</v>
      </c>
      <c r="K189" s="3" t="s">
        <v>373</v>
      </c>
      <c r="M189" s="3" t="s">
        <v>323</v>
      </c>
      <c r="N189" s="3">
        <v>3</v>
      </c>
      <c r="O189" s="3">
        <v>502</v>
      </c>
    </row>
    <row r="190" spans="1:15" hidden="1" x14ac:dyDescent="0.3">
      <c r="A190" s="3" t="s">
        <v>87</v>
      </c>
      <c r="B190" s="3" t="s">
        <v>12</v>
      </c>
      <c r="C190" s="2" t="s">
        <v>89</v>
      </c>
      <c r="D190" s="3">
        <v>4</v>
      </c>
      <c r="E190" s="3" t="s">
        <v>19</v>
      </c>
      <c r="F190" s="3" t="str">
        <f t="shared" si="4"/>
        <v>INI-SP-INV-04</v>
      </c>
      <c r="G190" s="3" t="s">
        <v>116</v>
      </c>
      <c r="H190" s="3">
        <v>88.7</v>
      </c>
      <c r="I190" s="3" t="s">
        <v>35</v>
      </c>
      <c r="J190" s="3" t="s">
        <v>374</v>
      </c>
      <c r="K190" s="3" t="s">
        <v>373</v>
      </c>
      <c r="M190" s="3" t="s">
        <v>323</v>
      </c>
      <c r="N190" s="3">
        <v>4</v>
      </c>
      <c r="O190" s="3">
        <v>502</v>
      </c>
    </row>
    <row r="191" spans="1:15" hidden="1" x14ac:dyDescent="0.3">
      <c r="A191" s="3" t="s">
        <v>87</v>
      </c>
      <c r="B191" s="3" t="s">
        <v>12</v>
      </c>
      <c r="C191" s="2" t="s">
        <v>88</v>
      </c>
      <c r="D191" s="3">
        <v>1</v>
      </c>
      <c r="E191" s="3" t="s">
        <v>63</v>
      </c>
      <c r="F191" s="3" t="str">
        <f t="shared" si="4"/>
        <v>INI-BP-PRY-01</v>
      </c>
      <c r="G191" s="3" t="s">
        <v>101</v>
      </c>
      <c r="K191" s="3"/>
      <c r="M191" s="3" t="s">
        <v>303</v>
      </c>
      <c r="N191" s="3">
        <v>12</v>
      </c>
      <c r="O191" s="3">
        <v>502</v>
      </c>
    </row>
    <row r="192" spans="1:15" hidden="1" x14ac:dyDescent="0.3">
      <c r="A192" s="3" t="s">
        <v>87</v>
      </c>
      <c r="B192" s="3" t="s">
        <v>12</v>
      </c>
      <c r="C192" s="2" t="s">
        <v>91</v>
      </c>
      <c r="D192" s="3">
        <v>1</v>
      </c>
      <c r="E192" s="3" t="s">
        <v>19</v>
      </c>
      <c r="F192" s="3" t="str">
        <f t="shared" si="4"/>
        <v>INI-LC-INV-01</v>
      </c>
      <c r="G192" s="3" t="s">
        <v>102</v>
      </c>
      <c r="H192" s="3">
        <v>25.2</v>
      </c>
      <c r="I192" s="3" t="s">
        <v>35</v>
      </c>
      <c r="J192" s="3" t="s">
        <v>21</v>
      </c>
      <c r="K192" s="3" t="s">
        <v>372</v>
      </c>
      <c r="M192" s="3" t="s">
        <v>303</v>
      </c>
      <c r="N192" s="3">
        <v>10</v>
      </c>
      <c r="O192" s="3">
        <v>502</v>
      </c>
    </row>
    <row r="193" spans="1:15" hidden="1" x14ac:dyDescent="0.3">
      <c r="A193" s="3" t="s">
        <v>87</v>
      </c>
      <c r="B193" s="3" t="s">
        <v>12</v>
      </c>
      <c r="C193" s="2" t="s">
        <v>91</v>
      </c>
      <c r="D193" s="3">
        <v>2</v>
      </c>
      <c r="E193" s="3" t="s">
        <v>19</v>
      </c>
      <c r="F193" s="3" t="str">
        <f t="shared" si="4"/>
        <v>INI-LC-INV-02</v>
      </c>
      <c r="G193" s="3" t="s">
        <v>103</v>
      </c>
      <c r="H193" s="3">
        <v>25.2</v>
      </c>
      <c r="I193" s="3" t="s">
        <v>35</v>
      </c>
      <c r="J193" s="3" t="s">
        <v>21</v>
      </c>
      <c r="K193" s="3" t="s">
        <v>372</v>
      </c>
      <c r="M193" s="3" t="s">
        <v>303</v>
      </c>
      <c r="N193" s="3">
        <v>9</v>
      </c>
      <c r="O193" s="3">
        <v>502</v>
      </c>
    </row>
    <row r="194" spans="1:15" hidden="1" x14ac:dyDescent="0.3">
      <c r="A194" s="3" t="s">
        <v>87</v>
      </c>
      <c r="B194" s="3" t="s">
        <v>12</v>
      </c>
      <c r="C194" s="2" t="s">
        <v>91</v>
      </c>
      <c r="D194" s="3">
        <v>3</v>
      </c>
      <c r="E194" s="3" t="s">
        <v>19</v>
      </c>
      <c r="F194" s="3" t="str">
        <f t="shared" si="4"/>
        <v>INI-LC-INV-03</v>
      </c>
      <c r="G194" s="3" t="s">
        <v>104</v>
      </c>
      <c r="H194" s="3">
        <v>25.2</v>
      </c>
      <c r="I194" s="3" t="s">
        <v>35</v>
      </c>
      <c r="J194" s="3" t="s">
        <v>21</v>
      </c>
      <c r="K194" s="3" t="s">
        <v>372</v>
      </c>
      <c r="M194" s="3" t="s">
        <v>303</v>
      </c>
      <c r="N194" s="3">
        <v>8</v>
      </c>
      <c r="O194" s="3">
        <v>502</v>
      </c>
    </row>
    <row r="195" spans="1:15" hidden="1" x14ac:dyDescent="0.3">
      <c r="A195" s="3" t="s">
        <v>87</v>
      </c>
      <c r="B195" s="3" t="s">
        <v>12</v>
      </c>
      <c r="C195" s="2" t="s">
        <v>91</v>
      </c>
      <c r="D195" s="3">
        <v>4</v>
      </c>
      <c r="E195" s="3" t="s">
        <v>19</v>
      </c>
      <c r="F195" s="3" t="str">
        <f t="shared" si="4"/>
        <v>INI-LC-INV-04</v>
      </c>
      <c r="G195" s="3" t="s">
        <v>105</v>
      </c>
      <c r="H195" s="3">
        <v>25.2</v>
      </c>
      <c r="I195" s="3" t="s">
        <v>35</v>
      </c>
      <c r="J195" s="3" t="s">
        <v>21</v>
      </c>
      <c r="K195" s="3" t="s">
        <v>372</v>
      </c>
      <c r="M195" s="3" t="s">
        <v>303</v>
      </c>
      <c r="N195" s="3">
        <v>11</v>
      </c>
      <c r="O195" s="3">
        <v>502</v>
      </c>
    </row>
    <row r="196" spans="1:15" hidden="1" x14ac:dyDescent="0.3">
      <c r="A196" s="3" t="s">
        <v>87</v>
      </c>
      <c r="B196" s="3" t="s">
        <v>12</v>
      </c>
      <c r="C196" s="2" t="s">
        <v>91</v>
      </c>
      <c r="D196" s="3">
        <v>1</v>
      </c>
      <c r="E196" s="3" t="s">
        <v>63</v>
      </c>
      <c r="F196" s="3" t="str">
        <f t="shared" si="4"/>
        <v>INI-LC-PRY-01</v>
      </c>
      <c r="G196" s="3" t="s">
        <v>117</v>
      </c>
      <c r="K196" s="3"/>
      <c r="M196" s="3" t="s">
        <v>303</v>
      </c>
      <c r="N196" s="3">
        <v>12</v>
      </c>
      <c r="O196" s="3">
        <v>502</v>
      </c>
    </row>
    <row r="197" spans="1:15" hidden="1" x14ac:dyDescent="0.3">
      <c r="A197" s="3" t="s">
        <v>87</v>
      </c>
      <c r="B197" s="3" t="s">
        <v>12</v>
      </c>
      <c r="C197" s="2" t="s">
        <v>91</v>
      </c>
      <c r="D197" s="3">
        <v>2</v>
      </c>
      <c r="E197" s="3" t="s">
        <v>63</v>
      </c>
      <c r="F197" s="3" t="str">
        <f t="shared" si="4"/>
        <v>INI-LC-PRY-02</v>
      </c>
      <c r="G197" s="3" t="s">
        <v>118</v>
      </c>
      <c r="K197" s="3"/>
      <c r="M197" s="3" t="s">
        <v>303</v>
      </c>
      <c r="N197" s="3">
        <v>13</v>
      </c>
      <c r="O197" s="3">
        <v>502</v>
      </c>
    </row>
    <row r="198" spans="1:15" hidden="1" x14ac:dyDescent="0.3">
      <c r="A198" s="3" t="s">
        <v>87</v>
      </c>
      <c r="B198" s="3" t="s">
        <v>12</v>
      </c>
      <c r="C198" s="2" t="s">
        <v>92</v>
      </c>
      <c r="D198" s="3">
        <v>1</v>
      </c>
      <c r="E198" s="3" t="s">
        <v>64</v>
      </c>
      <c r="F198" s="3" t="str">
        <f t="shared" si="4"/>
        <v>INI-UN-REV-01</v>
      </c>
      <c r="G198" s="3" t="s">
        <v>106</v>
      </c>
      <c r="J198" s="2" t="s">
        <v>362</v>
      </c>
      <c r="K198" s="2" t="s">
        <v>361</v>
      </c>
      <c r="L198" s="3">
        <v>251203623</v>
      </c>
      <c r="M198" s="3" t="s">
        <v>325</v>
      </c>
      <c r="N198" s="3">
        <v>2</v>
      </c>
      <c r="O198" s="3">
        <v>502</v>
      </c>
    </row>
    <row r="199" spans="1:15" hidden="1" x14ac:dyDescent="0.3">
      <c r="A199" s="3" t="s">
        <v>87</v>
      </c>
      <c r="B199" s="3" t="s">
        <v>12</v>
      </c>
      <c r="C199" s="2" t="s">
        <v>90</v>
      </c>
      <c r="D199" s="3">
        <v>1</v>
      </c>
      <c r="E199" s="3" t="s">
        <v>19</v>
      </c>
      <c r="F199" s="3" t="str">
        <f t="shared" si="4"/>
        <v>INI-UB-INV-01</v>
      </c>
      <c r="G199" s="3" t="s">
        <v>107</v>
      </c>
      <c r="H199" s="3">
        <v>140.4</v>
      </c>
      <c r="I199" s="3" t="s">
        <v>35</v>
      </c>
      <c r="J199" s="3" t="s">
        <v>21</v>
      </c>
      <c r="K199" s="3" t="s">
        <v>369</v>
      </c>
      <c r="M199" s="3" t="s">
        <v>327</v>
      </c>
      <c r="N199" s="3">
        <v>5</v>
      </c>
      <c r="O199" s="3">
        <v>502</v>
      </c>
    </row>
    <row r="200" spans="1:15" hidden="1" x14ac:dyDescent="0.3">
      <c r="A200" s="3" t="s">
        <v>87</v>
      </c>
      <c r="B200" s="3" t="s">
        <v>12</v>
      </c>
      <c r="C200" s="2" t="s">
        <v>90</v>
      </c>
      <c r="D200" s="3">
        <v>2</v>
      </c>
      <c r="E200" s="3" t="s">
        <v>19</v>
      </c>
      <c r="F200" s="3" t="str">
        <f t="shared" si="4"/>
        <v>INI-UB-INV-02</v>
      </c>
      <c r="G200" s="3" t="s">
        <v>108</v>
      </c>
      <c r="H200" s="3">
        <v>140.4</v>
      </c>
      <c r="I200" s="3" t="s">
        <v>35</v>
      </c>
      <c r="J200" s="3" t="s">
        <v>21</v>
      </c>
      <c r="K200" s="3" t="s">
        <v>369</v>
      </c>
      <c r="M200" s="3" t="s">
        <v>327</v>
      </c>
      <c r="N200" s="3">
        <v>6</v>
      </c>
      <c r="O200" s="3">
        <v>502</v>
      </c>
    </row>
    <row r="201" spans="1:15" hidden="1" x14ac:dyDescent="0.3">
      <c r="A201" s="3" t="s">
        <v>87</v>
      </c>
      <c r="B201" s="3" t="s">
        <v>12</v>
      </c>
      <c r="C201" s="2" t="s">
        <v>90</v>
      </c>
      <c r="D201" s="3">
        <v>1</v>
      </c>
      <c r="E201" s="3" t="s">
        <v>63</v>
      </c>
      <c r="F201" s="3" t="str">
        <f t="shared" si="4"/>
        <v>INI-UB-PRY-01</v>
      </c>
      <c r="G201" s="3" t="s">
        <v>99</v>
      </c>
      <c r="K201" s="3"/>
      <c r="M201" s="3" t="s">
        <v>327</v>
      </c>
      <c r="N201" s="3">
        <v>12</v>
      </c>
      <c r="O201" s="3">
        <v>502</v>
      </c>
    </row>
    <row r="202" spans="1:15" ht="17.25" hidden="1" customHeight="1" x14ac:dyDescent="0.3">
      <c r="A202" s="3" t="s">
        <v>87</v>
      </c>
      <c r="B202" s="3" t="s">
        <v>12</v>
      </c>
      <c r="C202" s="2" t="s">
        <v>90</v>
      </c>
      <c r="D202" s="3">
        <v>2</v>
      </c>
      <c r="E202" s="3" t="s">
        <v>63</v>
      </c>
      <c r="F202" s="3" t="str">
        <f t="shared" si="4"/>
        <v>INI-UB-PRY-02</v>
      </c>
      <c r="G202" s="3" t="s">
        <v>98</v>
      </c>
      <c r="K202" s="3"/>
      <c r="M202" s="3" t="s">
        <v>327</v>
      </c>
      <c r="N202" s="3">
        <v>12</v>
      </c>
      <c r="O202" s="3">
        <v>502</v>
      </c>
    </row>
    <row r="203" spans="1:15" hidden="1" x14ac:dyDescent="0.3">
      <c r="A203" s="3" t="s">
        <v>87</v>
      </c>
      <c r="B203" s="3" t="s">
        <v>12</v>
      </c>
      <c r="C203" s="2" t="s">
        <v>90</v>
      </c>
      <c r="D203" s="3">
        <v>1</v>
      </c>
      <c r="E203" s="3" t="s">
        <v>64</v>
      </c>
      <c r="F203" s="3" t="str">
        <f t="shared" si="4"/>
        <v>INI-UB-REV-01</v>
      </c>
      <c r="G203" s="3" t="s">
        <v>100</v>
      </c>
      <c r="J203" s="2" t="s">
        <v>362</v>
      </c>
      <c r="K203" s="2" t="s">
        <v>361</v>
      </c>
      <c r="L203" s="3">
        <v>251203612</v>
      </c>
      <c r="M203" s="3" t="s">
        <v>326</v>
      </c>
      <c r="N203" s="3">
        <v>1</v>
      </c>
      <c r="O203" s="3">
        <v>502</v>
      </c>
    </row>
    <row r="204" spans="1:15" hidden="1" x14ac:dyDescent="0.3">
      <c r="A204" s="3" t="s">
        <v>87</v>
      </c>
      <c r="B204" s="3" t="s">
        <v>12</v>
      </c>
      <c r="C204" s="2" t="s">
        <v>288</v>
      </c>
      <c r="D204" s="3">
        <v>1</v>
      </c>
      <c r="E204" s="3" t="s">
        <v>23</v>
      </c>
      <c r="F204" s="3" t="str">
        <f t="shared" ref="F204" si="9">B204&amp;"-"&amp;IF(C204="","",C204&amp;"-")&amp;IF(E204="Inverter","INV",IF(E204="Pyranometer","PRY",IF(E204="Revenue Meter","REV",IF(E204="Grid Meter","GMT","recheck"))))&amp;"-"&amp;TEXT(D204,"00")</f>
        <v>INI-115kV-GMT-01</v>
      </c>
      <c r="G204" s="3" t="s">
        <v>289</v>
      </c>
      <c r="K204" s="3"/>
      <c r="M204" s="3" t="s">
        <v>324</v>
      </c>
      <c r="N204" s="3">
        <v>33</v>
      </c>
      <c r="O204" s="3">
        <v>502</v>
      </c>
    </row>
    <row r="205" spans="1:15" hidden="1" x14ac:dyDescent="0.3">
      <c r="A205" s="3" t="s">
        <v>93</v>
      </c>
      <c r="B205" s="3" t="s">
        <v>94</v>
      </c>
      <c r="D205" s="3">
        <v>1</v>
      </c>
      <c r="E205" s="3" t="s">
        <v>19</v>
      </c>
      <c r="F205" s="3" t="str">
        <f t="shared" si="4"/>
        <v>FTF-INV-01</v>
      </c>
      <c r="G205" s="3" t="s">
        <v>264</v>
      </c>
      <c r="H205" s="3">
        <v>127.74</v>
      </c>
      <c r="I205" s="3" t="s">
        <v>35</v>
      </c>
      <c r="J205" s="3" t="s">
        <v>21</v>
      </c>
      <c r="K205" s="3" t="s">
        <v>369</v>
      </c>
      <c r="M205" s="3" t="s">
        <v>308</v>
      </c>
      <c r="N205" s="3">
        <v>5</v>
      </c>
      <c r="O205" s="3">
        <v>502</v>
      </c>
    </row>
    <row r="206" spans="1:15" hidden="1" x14ac:dyDescent="0.3">
      <c r="A206" s="3" t="s">
        <v>93</v>
      </c>
      <c r="B206" s="3" t="s">
        <v>94</v>
      </c>
      <c r="D206" s="3">
        <v>2</v>
      </c>
      <c r="E206" s="3" t="s">
        <v>19</v>
      </c>
      <c r="F206" s="3" t="str">
        <f t="shared" si="4"/>
        <v>FTF-INV-02</v>
      </c>
      <c r="G206" s="3" t="s">
        <v>265</v>
      </c>
      <c r="H206" s="3">
        <v>129.6</v>
      </c>
      <c r="I206" s="3" t="s">
        <v>35</v>
      </c>
      <c r="J206" s="3" t="s">
        <v>21</v>
      </c>
      <c r="K206" s="3" t="s">
        <v>369</v>
      </c>
      <c r="M206" s="3" t="s">
        <v>308</v>
      </c>
      <c r="N206" s="3">
        <v>4</v>
      </c>
      <c r="O206" s="3">
        <v>502</v>
      </c>
    </row>
    <row r="207" spans="1:15" hidden="1" x14ac:dyDescent="0.3">
      <c r="A207" s="3" t="s">
        <v>93</v>
      </c>
      <c r="B207" s="3" t="s">
        <v>94</v>
      </c>
      <c r="D207" s="3">
        <v>3</v>
      </c>
      <c r="E207" s="3" t="s">
        <v>19</v>
      </c>
      <c r="F207" s="3" t="str">
        <f t="shared" si="4"/>
        <v>FTF-INV-03</v>
      </c>
      <c r="G207" s="3" t="s">
        <v>268</v>
      </c>
      <c r="H207" s="3">
        <v>129.6</v>
      </c>
      <c r="I207" s="3" t="s">
        <v>35</v>
      </c>
      <c r="J207" s="3" t="s">
        <v>21</v>
      </c>
      <c r="K207" s="3" t="s">
        <v>369</v>
      </c>
      <c r="M207" s="3" t="s">
        <v>308</v>
      </c>
      <c r="N207" s="3">
        <v>3</v>
      </c>
      <c r="O207" s="3">
        <v>502</v>
      </c>
    </row>
    <row r="208" spans="1:15" hidden="1" x14ac:dyDescent="0.3">
      <c r="A208" s="3" t="s">
        <v>93</v>
      </c>
      <c r="B208" s="3" t="s">
        <v>94</v>
      </c>
      <c r="D208" s="3">
        <v>4</v>
      </c>
      <c r="E208" s="3" t="s">
        <v>19</v>
      </c>
      <c r="F208" s="3" t="str">
        <f t="shared" si="4"/>
        <v>FTF-INV-04</v>
      </c>
      <c r="G208" s="3" t="s">
        <v>266</v>
      </c>
      <c r="H208" s="3">
        <v>131.69999999999999</v>
      </c>
      <c r="I208" s="3" t="s">
        <v>35</v>
      </c>
      <c r="J208" s="3" t="s">
        <v>21</v>
      </c>
      <c r="K208" s="3" t="s">
        <v>369</v>
      </c>
      <c r="M208" s="3" t="s">
        <v>308</v>
      </c>
      <c r="N208" s="3">
        <v>1</v>
      </c>
      <c r="O208" s="3">
        <v>502</v>
      </c>
    </row>
    <row r="209" spans="1:15" hidden="1" x14ac:dyDescent="0.3">
      <c r="A209" s="3" t="s">
        <v>93</v>
      </c>
      <c r="B209" s="3" t="s">
        <v>94</v>
      </c>
      <c r="D209" s="3">
        <v>5</v>
      </c>
      <c r="E209" s="3" t="s">
        <v>19</v>
      </c>
      <c r="F209" s="3" t="str">
        <f t="shared" ref="F209:F216" si="10">B209&amp;"-"&amp;IF(C209="","",C209&amp;"-")&amp;IF(E209="Inverter","INV",IF(E209="Pyranometer","PRY",IF(E209="Revenue Meter","REV",IF(E209="Grid Meter","GMT","recheck"))))&amp;"-"&amp;TEXT(D209,"00")</f>
        <v>FTF-INV-05</v>
      </c>
      <c r="G209" s="3" t="s">
        <v>267</v>
      </c>
      <c r="H209" s="3">
        <v>129.6</v>
      </c>
      <c r="I209" s="3" t="s">
        <v>35</v>
      </c>
      <c r="J209" s="3" t="s">
        <v>21</v>
      </c>
      <c r="K209" s="3" t="s">
        <v>369</v>
      </c>
      <c r="M209" s="3" t="s">
        <v>308</v>
      </c>
      <c r="N209" s="3">
        <v>2</v>
      </c>
      <c r="O209" s="3">
        <v>502</v>
      </c>
    </row>
    <row r="210" spans="1:15" hidden="1" x14ac:dyDescent="0.3">
      <c r="A210" s="3" t="s">
        <v>93</v>
      </c>
      <c r="B210" s="3" t="s">
        <v>94</v>
      </c>
      <c r="D210" s="3">
        <v>1</v>
      </c>
      <c r="E210" s="3" t="s">
        <v>63</v>
      </c>
      <c r="F210" s="3" t="str">
        <f t="shared" si="10"/>
        <v>FTF-PRY-01</v>
      </c>
      <c r="G210" s="3" t="s">
        <v>273</v>
      </c>
      <c r="K210" s="3"/>
      <c r="M210" s="3" t="s">
        <v>308</v>
      </c>
      <c r="O210" s="3">
        <v>502</v>
      </c>
    </row>
    <row r="211" spans="1:15" hidden="1" x14ac:dyDescent="0.3">
      <c r="A211" s="3" t="s">
        <v>93</v>
      </c>
      <c r="B211" s="3" t="s">
        <v>94</v>
      </c>
      <c r="D211" s="3">
        <v>1</v>
      </c>
      <c r="E211" s="3" t="s">
        <v>64</v>
      </c>
      <c r="F211" s="3" t="str">
        <f t="shared" si="10"/>
        <v>FTF-REV-01</v>
      </c>
      <c r="G211" s="3" t="s">
        <v>274</v>
      </c>
      <c r="J211" s="2" t="s">
        <v>362</v>
      </c>
      <c r="K211" s="2" t="s">
        <v>361</v>
      </c>
      <c r="L211" s="3">
        <v>251203553</v>
      </c>
      <c r="M211" s="3" t="s">
        <v>310</v>
      </c>
      <c r="N211" s="3">
        <v>1</v>
      </c>
      <c r="O211" s="3">
        <v>502</v>
      </c>
    </row>
    <row r="212" spans="1:15" hidden="1" x14ac:dyDescent="0.3">
      <c r="A212" s="3" t="s">
        <v>93</v>
      </c>
      <c r="B212" s="3" t="s">
        <v>94</v>
      </c>
      <c r="D212" s="3">
        <v>1</v>
      </c>
      <c r="E212" s="3" t="s">
        <v>23</v>
      </c>
      <c r="F212" s="3" t="str">
        <f t="shared" si="10"/>
        <v>FTF-GMT-01</v>
      </c>
      <c r="G212" s="3" t="s">
        <v>309</v>
      </c>
      <c r="K212" s="3"/>
      <c r="M212" s="3" t="s">
        <v>308</v>
      </c>
      <c r="N212" s="3">
        <v>13</v>
      </c>
      <c r="O212" s="3">
        <v>502</v>
      </c>
    </row>
    <row r="213" spans="1:15" hidden="1" x14ac:dyDescent="0.3">
      <c r="A213" s="3" t="s">
        <v>93</v>
      </c>
      <c r="B213" s="3" t="s">
        <v>94</v>
      </c>
      <c r="D213" s="3">
        <v>6</v>
      </c>
      <c r="E213" s="3" t="s">
        <v>19</v>
      </c>
      <c r="F213" s="3" t="str">
        <f t="shared" si="10"/>
        <v>FTF-INV-06</v>
      </c>
      <c r="G213" s="3" t="s">
        <v>270</v>
      </c>
      <c r="H213" s="3">
        <v>129.6</v>
      </c>
      <c r="I213" s="3" t="s">
        <v>35</v>
      </c>
      <c r="J213" s="3" t="s">
        <v>21</v>
      </c>
      <c r="K213" s="3" t="s">
        <v>369</v>
      </c>
      <c r="M213" s="3" t="s">
        <v>297</v>
      </c>
      <c r="N213" s="3">
        <v>2</v>
      </c>
      <c r="O213" s="3">
        <v>502</v>
      </c>
    </row>
    <row r="214" spans="1:15" hidden="1" x14ac:dyDescent="0.3">
      <c r="A214" s="3" t="s">
        <v>93</v>
      </c>
      <c r="B214" s="3" t="s">
        <v>94</v>
      </c>
      <c r="D214" s="3">
        <v>7</v>
      </c>
      <c r="E214" s="3" t="s">
        <v>19</v>
      </c>
      <c r="F214" s="3" t="str">
        <f t="shared" si="10"/>
        <v>FTF-INV-07</v>
      </c>
      <c r="G214" s="3" t="s">
        <v>269</v>
      </c>
      <c r="H214" s="3">
        <v>129.6</v>
      </c>
      <c r="I214" s="3" t="s">
        <v>35</v>
      </c>
      <c r="J214" s="3" t="s">
        <v>21</v>
      </c>
      <c r="K214" s="3" t="s">
        <v>369</v>
      </c>
      <c r="M214" s="3" t="s">
        <v>297</v>
      </c>
      <c r="N214" s="3">
        <v>1</v>
      </c>
      <c r="O214" s="3">
        <v>502</v>
      </c>
    </row>
    <row r="215" spans="1:15" hidden="1" x14ac:dyDescent="0.3">
      <c r="A215" s="3" t="s">
        <v>93</v>
      </c>
      <c r="B215" s="3" t="s">
        <v>94</v>
      </c>
      <c r="D215" s="3">
        <v>2</v>
      </c>
      <c r="E215" s="3" t="s">
        <v>63</v>
      </c>
      <c r="F215" s="3" t="str">
        <f t="shared" si="10"/>
        <v>FTF-PRY-02</v>
      </c>
      <c r="G215" s="3" t="s">
        <v>271</v>
      </c>
      <c r="K215" s="3"/>
      <c r="M215" s="3" t="s">
        <v>297</v>
      </c>
      <c r="O215" s="3">
        <v>502</v>
      </c>
    </row>
    <row r="216" spans="1:15" hidden="1" x14ac:dyDescent="0.3">
      <c r="A216" s="3" t="s">
        <v>93</v>
      </c>
      <c r="B216" s="3" t="s">
        <v>94</v>
      </c>
      <c r="D216" s="3">
        <v>2</v>
      </c>
      <c r="E216" s="3" t="s">
        <v>64</v>
      </c>
      <c r="F216" s="3" t="str">
        <f t="shared" si="10"/>
        <v>FTF-REV-02</v>
      </c>
      <c r="G216" s="3" t="s">
        <v>272</v>
      </c>
      <c r="J216" s="2" t="s">
        <v>362</v>
      </c>
      <c r="K216" s="2" t="s">
        <v>361</v>
      </c>
      <c r="L216" s="3">
        <v>251203554</v>
      </c>
      <c r="M216" s="3" t="s">
        <v>311</v>
      </c>
      <c r="N216" s="3">
        <v>2</v>
      </c>
      <c r="O216" s="3">
        <v>502</v>
      </c>
    </row>
    <row r="217" spans="1:15" hidden="1" x14ac:dyDescent="0.3">
      <c r="A217" s="3" t="s">
        <v>93</v>
      </c>
      <c r="B217" s="3" t="s">
        <v>94</v>
      </c>
      <c r="D217" s="3">
        <v>2</v>
      </c>
      <c r="E217" s="3" t="s">
        <v>23</v>
      </c>
      <c r="F217" s="3" t="str">
        <f t="shared" ref="F217" si="11">B217&amp;"-"&amp;IF(C217="","",C217&amp;"-")&amp;IF(E217="Inverter","INV",IF(E217="Pyranometer","PRY",IF(E217="Revenue Meter","REV",IF(E217="Grid Meter","GMT","recheck"))))&amp;"-"&amp;TEXT(D217,"00")</f>
        <v>FTF-GMT-02</v>
      </c>
      <c r="G217" s="3" t="s">
        <v>290</v>
      </c>
      <c r="K217" s="3"/>
      <c r="M217" s="3" t="s">
        <v>297</v>
      </c>
      <c r="N217" s="3">
        <v>30</v>
      </c>
      <c r="O217" s="3">
        <v>502</v>
      </c>
    </row>
  </sheetData>
  <autoFilter ref="A2:O217" xr:uid="{9018FAD7-BC30-4504-835F-D405163CC248}">
    <filterColumn colId="0">
      <filters>
        <filter val="PTTEP RASC"/>
      </filters>
    </filterColumn>
    <filterColumn colId="4">
      <filters>
        <filter val="Grid Meter"/>
        <filter val="Inverter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73E5-A546-452C-BB44-FCB78D19D3DC}">
  <dimension ref="A1:F88"/>
  <sheetViews>
    <sheetView workbookViewId="0">
      <selection activeCell="C16" sqref="C16"/>
    </sheetView>
  </sheetViews>
  <sheetFormatPr defaultColWidth="8" defaultRowHeight="11.25" x14ac:dyDescent="0.3"/>
  <cols>
    <col min="1" max="1" width="8" style="13"/>
    <col min="2" max="2" width="30.625" style="9" customWidth="1"/>
    <col min="3" max="3" width="8" style="13"/>
    <col min="4" max="4" width="10" style="13" customWidth="1"/>
    <col min="5" max="5" width="10.875" style="13" customWidth="1"/>
    <col min="6" max="6" width="27.875" style="14" customWidth="1"/>
    <col min="7" max="16384" width="8" style="9"/>
  </cols>
  <sheetData>
    <row r="1" spans="1:6" ht="12.75" x14ac:dyDescent="0.3">
      <c r="A1" s="12" t="s">
        <v>473</v>
      </c>
      <c r="B1" s="12" t="s">
        <v>97</v>
      </c>
      <c r="C1" s="12" t="s">
        <v>467</v>
      </c>
      <c r="D1" s="12" t="s">
        <v>469</v>
      </c>
      <c r="E1" s="12" t="s">
        <v>468</v>
      </c>
      <c r="F1" s="12" t="s">
        <v>18</v>
      </c>
    </row>
    <row r="2" spans="1:6" x14ac:dyDescent="0.3">
      <c r="A2" s="13" t="s">
        <v>471</v>
      </c>
      <c r="B2" s="14" t="s">
        <v>379</v>
      </c>
      <c r="C2" s="13">
        <v>1</v>
      </c>
      <c r="D2" s="13">
        <v>40072</v>
      </c>
      <c r="E2" s="13" t="s">
        <v>382</v>
      </c>
    </row>
    <row r="3" spans="1:6" x14ac:dyDescent="0.3">
      <c r="A3" s="13" t="s">
        <v>471</v>
      </c>
      <c r="B3" s="14" t="s">
        <v>383</v>
      </c>
      <c r="C3" s="13">
        <v>0.1</v>
      </c>
      <c r="D3" s="13">
        <v>40073</v>
      </c>
      <c r="E3" s="13" t="s">
        <v>382</v>
      </c>
    </row>
    <row r="4" spans="1:6" x14ac:dyDescent="0.3">
      <c r="A4" s="13" t="s">
        <v>471</v>
      </c>
      <c r="B4" s="14" t="s">
        <v>384</v>
      </c>
      <c r="C4" s="13">
        <v>0.1</v>
      </c>
      <c r="D4" s="13">
        <v>40074</v>
      </c>
      <c r="E4" s="13" t="s">
        <v>382</v>
      </c>
    </row>
    <row r="5" spans="1:6" x14ac:dyDescent="0.3">
      <c r="A5" s="13" t="s">
        <v>471</v>
      </c>
      <c r="B5" s="14" t="s">
        <v>385</v>
      </c>
      <c r="C5" s="13">
        <v>0.1</v>
      </c>
      <c r="D5" s="13">
        <v>40075</v>
      </c>
      <c r="E5" s="13" t="s">
        <v>382</v>
      </c>
    </row>
    <row r="6" spans="1:6" x14ac:dyDescent="0.3">
      <c r="A6" s="13" t="s">
        <v>471</v>
      </c>
      <c r="B6" s="14" t="s">
        <v>386</v>
      </c>
      <c r="C6" s="13">
        <v>1</v>
      </c>
      <c r="D6" s="13">
        <v>40076</v>
      </c>
      <c r="E6" s="13" t="s">
        <v>382</v>
      </c>
    </row>
    <row r="7" spans="1:6" x14ac:dyDescent="0.3">
      <c r="A7" s="13" t="s">
        <v>471</v>
      </c>
      <c r="B7" s="14" t="s">
        <v>387</v>
      </c>
      <c r="C7" s="13">
        <v>0.1</v>
      </c>
      <c r="D7" s="13">
        <v>40077</v>
      </c>
      <c r="E7" s="13" t="s">
        <v>382</v>
      </c>
    </row>
    <row r="8" spans="1:6" x14ac:dyDescent="0.3">
      <c r="A8" s="13" t="s">
        <v>471</v>
      </c>
      <c r="B8" s="14" t="s">
        <v>388</v>
      </c>
      <c r="C8" s="13">
        <v>0.1</v>
      </c>
      <c r="D8" s="13">
        <v>40078</v>
      </c>
      <c r="E8" s="13" t="s">
        <v>382</v>
      </c>
    </row>
    <row r="9" spans="1:6" x14ac:dyDescent="0.3">
      <c r="A9" s="13" t="s">
        <v>471</v>
      </c>
      <c r="B9" s="14" t="s">
        <v>389</v>
      </c>
      <c r="C9" s="13">
        <v>0.1</v>
      </c>
      <c r="D9" s="13">
        <v>40079</v>
      </c>
      <c r="E9" s="13" t="s">
        <v>382</v>
      </c>
    </row>
    <row r="10" spans="1:6" x14ac:dyDescent="0.3">
      <c r="A10" s="13" t="s">
        <v>471</v>
      </c>
      <c r="B10" s="14" t="s">
        <v>390</v>
      </c>
      <c r="C10" s="13">
        <v>0.1</v>
      </c>
      <c r="D10" s="13">
        <v>40080</v>
      </c>
      <c r="E10" s="13" t="s">
        <v>382</v>
      </c>
    </row>
    <row r="11" spans="1:6" x14ac:dyDescent="0.3">
      <c r="A11" s="13" t="s">
        <v>471</v>
      </c>
      <c r="B11" s="14" t="s">
        <v>391</v>
      </c>
      <c r="C11" s="13">
        <v>0.1</v>
      </c>
      <c r="D11" s="13">
        <v>40081</v>
      </c>
      <c r="E11" s="13" t="s">
        <v>382</v>
      </c>
    </row>
    <row r="12" spans="1:6" x14ac:dyDescent="0.3">
      <c r="A12" s="13" t="s">
        <v>471</v>
      </c>
      <c r="B12" s="14" t="s">
        <v>392</v>
      </c>
      <c r="C12" s="13">
        <v>0.1</v>
      </c>
      <c r="D12" s="13">
        <v>40082</v>
      </c>
      <c r="E12" s="13" t="s">
        <v>382</v>
      </c>
    </row>
    <row r="13" spans="1:6" x14ac:dyDescent="0.3">
      <c r="A13" s="13" t="s">
        <v>471</v>
      </c>
      <c r="B13" s="14" t="s">
        <v>393</v>
      </c>
      <c r="C13" s="13">
        <v>1</v>
      </c>
      <c r="D13" s="13">
        <v>40083</v>
      </c>
      <c r="E13" s="13" t="s">
        <v>382</v>
      </c>
    </row>
    <row r="14" spans="1:6" x14ac:dyDescent="0.3">
      <c r="A14" s="13" t="s">
        <v>472</v>
      </c>
      <c r="B14" s="14" t="s">
        <v>394</v>
      </c>
      <c r="C14" s="13">
        <v>0.01</v>
      </c>
      <c r="D14" s="13">
        <v>40084</v>
      </c>
      <c r="E14" s="13" t="s">
        <v>395</v>
      </c>
    </row>
    <row r="15" spans="1:6" x14ac:dyDescent="0.3">
      <c r="A15" s="13" t="s">
        <v>471</v>
      </c>
      <c r="B15" s="14" t="s">
        <v>396</v>
      </c>
      <c r="C15" s="13">
        <v>1</v>
      </c>
      <c r="D15" s="13">
        <v>40085</v>
      </c>
      <c r="E15" s="13" t="s">
        <v>395</v>
      </c>
    </row>
    <row r="16" spans="1:6" x14ac:dyDescent="0.3">
      <c r="A16" s="13" t="s">
        <v>471</v>
      </c>
      <c r="B16" s="14" t="s">
        <v>397</v>
      </c>
      <c r="C16" s="13">
        <v>0.01</v>
      </c>
      <c r="D16" s="13">
        <v>40086</v>
      </c>
      <c r="E16" s="13" t="s">
        <v>382</v>
      </c>
    </row>
    <row r="17" spans="1:5" x14ac:dyDescent="0.3">
      <c r="A17" s="13" t="s">
        <v>471</v>
      </c>
      <c r="B17" s="14" t="s">
        <v>398</v>
      </c>
      <c r="C17" s="13">
        <v>1</v>
      </c>
      <c r="D17" s="13">
        <v>40087</v>
      </c>
      <c r="E17" s="13" t="s">
        <v>382</v>
      </c>
    </row>
    <row r="18" spans="1:5" x14ac:dyDescent="0.3">
      <c r="A18" s="13" t="s">
        <v>471</v>
      </c>
      <c r="B18" s="14" t="s">
        <v>399</v>
      </c>
      <c r="C18" s="13">
        <v>0.01</v>
      </c>
      <c r="D18" s="13">
        <v>40088</v>
      </c>
      <c r="E18" s="13" t="s">
        <v>395</v>
      </c>
    </row>
    <row r="19" spans="1:5" x14ac:dyDescent="0.3">
      <c r="A19" s="13" t="s">
        <v>471</v>
      </c>
      <c r="B19" s="14" t="s">
        <v>400</v>
      </c>
      <c r="C19" s="13">
        <v>1</v>
      </c>
      <c r="D19" s="13">
        <v>40089</v>
      </c>
      <c r="E19" s="13" t="s">
        <v>395</v>
      </c>
    </row>
    <row r="20" spans="1:5" x14ac:dyDescent="0.3">
      <c r="A20" s="13" t="s">
        <v>471</v>
      </c>
      <c r="B20" s="14" t="s">
        <v>401</v>
      </c>
      <c r="C20" s="13">
        <v>0.01</v>
      </c>
      <c r="D20" s="13">
        <v>40090</v>
      </c>
      <c r="E20" s="13" t="s">
        <v>395</v>
      </c>
    </row>
    <row r="21" spans="1:5" x14ac:dyDescent="0.3">
      <c r="A21" s="13" t="s">
        <v>471</v>
      </c>
      <c r="B21" s="14" t="s">
        <v>402</v>
      </c>
      <c r="C21" s="13">
        <v>1</v>
      </c>
      <c r="D21" s="13">
        <v>40091</v>
      </c>
      <c r="E21" s="13" t="s">
        <v>395</v>
      </c>
    </row>
    <row r="22" spans="1:5" x14ac:dyDescent="0.3">
      <c r="A22" s="13" t="s">
        <v>471</v>
      </c>
      <c r="B22" s="14" t="s">
        <v>403</v>
      </c>
      <c r="C22" s="13">
        <v>1E-4</v>
      </c>
      <c r="D22" s="13">
        <v>40092</v>
      </c>
      <c r="E22" s="13" t="s">
        <v>395</v>
      </c>
    </row>
    <row r="23" spans="1:5" x14ac:dyDescent="0.3">
      <c r="A23" s="13" t="s">
        <v>471</v>
      </c>
      <c r="B23" s="14" t="s">
        <v>404</v>
      </c>
      <c r="C23" s="13">
        <v>1</v>
      </c>
      <c r="D23" s="13">
        <v>40093</v>
      </c>
      <c r="E23" s="13" t="s">
        <v>395</v>
      </c>
    </row>
    <row r="24" spans="1:5" x14ac:dyDescent="0.3">
      <c r="A24" s="13" t="s">
        <v>471</v>
      </c>
      <c r="B24" s="14" t="s">
        <v>405</v>
      </c>
      <c r="C24" s="13">
        <v>0.01</v>
      </c>
      <c r="D24" s="13">
        <v>40094</v>
      </c>
      <c r="E24" s="13" t="s">
        <v>406</v>
      </c>
    </row>
    <row r="25" spans="1:5" x14ac:dyDescent="0.3">
      <c r="A25" s="13" t="s">
        <v>471</v>
      </c>
      <c r="B25" s="14" t="s">
        <v>407</v>
      </c>
      <c r="C25" s="13">
        <v>1</v>
      </c>
      <c r="D25" s="13">
        <v>40096</v>
      </c>
      <c r="E25" s="13" t="s">
        <v>382</v>
      </c>
    </row>
    <row r="26" spans="1:5" x14ac:dyDescent="0.3">
      <c r="A26" s="13" t="s">
        <v>471</v>
      </c>
      <c r="B26" s="14" t="s">
        <v>408</v>
      </c>
      <c r="C26" s="13">
        <v>0.1</v>
      </c>
      <c r="D26" s="13">
        <v>40097</v>
      </c>
      <c r="E26" s="13" t="s">
        <v>382</v>
      </c>
    </row>
    <row r="27" spans="1:5" x14ac:dyDescent="0.3">
      <c r="A27" s="13" t="s">
        <v>471</v>
      </c>
      <c r="B27" s="14" t="s">
        <v>409</v>
      </c>
      <c r="C27" s="13">
        <v>1</v>
      </c>
      <c r="D27" s="13">
        <v>40098</v>
      </c>
      <c r="E27" s="13" t="s">
        <v>382</v>
      </c>
    </row>
    <row r="28" spans="1:5" x14ac:dyDescent="0.3">
      <c r="A28" s="13" t="s">
        <v>471</v>
      </c>
      <c r="B28" s="14" t="s">
        <v>410</v>
      </c>
      <c r="C28" s="13">
        <v>0.1</v>
      </c>
      <c r="D28" s="13">
        <v>40099</v>
      </c>
      <c r="E28" s="13" t="s">
        <v>382</v>
      </c>
    </row>
    <row r="29" spans="1:5" x14ac:dyDescent="0.3">
      <c r="A29" s="13" t="s">
        <v>471</v>
      </c>
      <c r="B29" s="14" t="s">
        <v>411</v>
      </c>
      <c r="C29" s="13">
        <v>1</v>
      </c>
      <c r="D29" s="13">
        <v>40100</v>
      </c>
      <c r="E29" s="13" t="s">
        <v>382</v>
      </c>
    </row>
    <row r="30" spans="1:5" x14ac:dyDescent="0.3">
      <c r="A30" s="13" t="s">
        <v>471</v>
      </c>
      <c r="B30" s="14" t="s">
        <v>412</v>
      </c>
      <c r="C30" s="13">
        <v>0.01</v>
      </c>
      <c r="D30" s="13">
        <v>40101</v>
      </c>
      <c r="E30" s="13" t="s">
        <v>395</v>
      </c>
    </row>
    <row r="31" spans="1:5" x14ac:dyDescent="0.3">
      <c r="A31" s="13" t="s">
        <v>471</v>
      </c>
      <c r="B31" s="14" t="s">
        <v>413</v>
      </c>
      <c r="C31" s="13">
        <v>1</v>
      </c>
      <c r="D31" s="13">
        <v>40102</v>
      </c>
      <c r="E31" s="13" t="s">
        <v>395</v>
      </c>
    </row>
    <row r="32" spans="1:5" x14ac:dyDescent="0.3">
      <c r="A32" s="13" t="s">
        <v>471</v>
      </c>
      <c r="B32" s="14" t="s">
        <v>414</v>
      </c>
      <c r="C32" s="13">
        <v>0.1</v>
      </c>
      <c r="D32" s="13">
        <v>40103</v>
      </c>
      <c r="E32" s="13" t="s">
        <v>395</v>
      </c>
    </row>
    <row r="33" spans="1:6" x14ac:dyDescent="0.3">
      <c r="A33" s="13" t="s">
        <v>471</v>
      </c>
      <c r="B33" s="14" t="s">
        <v>415</v>
      </c>
      <c r="C33" s="13">
        <v>0.1</v>
      </c>
      <c r="D33" s="13">
        <v>40104</v>
      </c>
      <c r="E33" s="13" t="s">
        <v>395</v>
      </c>
    </row>
    <row r="34" spans="1:6" x14ac:dyDescent="0.3">
      <c r="A34" s="13" t="s">
        <v>471</v>
      </c>
      <c r="B34" s="14" t="s">
        <v>416</v>
      </c>
      <c r="C34" s="13">
        <v>0.1</v>
      </c>
      <c r="D34" s="13">
        <v>40105</v>
      </c>
      <c r="E34" s="13" t="s">
        <v>395</v>
      </c>
    </row>
    <row r="35" spans="1:6" x14ac:dyDescent="0.3">
      <c r="A35" s="13" t="s">
        <v>471</v>
      </c>
      <c r="B35" s="14" t="s">
        <v>417</v>
      </c>
      <c r="C35" s="13">
        <v>0.1</v>
      </c>
      <c r="D35" s="13">
        <v>40106</v>
      </c>
      <c r="E35" s="13" t="s">
        <v>395</v>
      </c>
    </row>
    <row r="36" spans="1:6" x14ac:dyDescent="0.3">
      <c r="A36" s="13" t="s">
        <v>471</v>
      </c>
      <c r="B36" s="14" t="s">
        <v>418</v>
      </c>
      <c r="C36" s="13">
        <v>1</v>
      </c>
      <c r="D36" s="13">
        <v>40107</v>
      </c>
      <c r="E36" s="13" t="s">
        <v>395</v>
      </c>
    </row>
    <row r="37" spans="1:6" ht="90" x14ac:dyDescent="0.3">
      <c r="A37" s="13" t="s">
        <v>472</v>
      </c>
      <c r="B37" s="14" t="s">
        <v>419</v>
      </c>
      <c r="C37" s="13">
        <v>1</v>
      </c>
      <c r="D37" s="13">
        <v>40108</v>
      </c>
      <c r="E37" s="13" t="s">
        <v>382</v>
      </c>
      <c r="F37" s="15" t="s">
        <v>470</v>
      </c>
    </row>
    <row r="38" spans="1:6" x14ac:dyDescent="0.3">
      <c r="A38" s="13" t="s">
        <v>471</v>
      </c>
      <c r="B38" s="14" t="s">
        <v>420</v>
      </c>
      <c r="C38" s="13">
        <v>1</v>
      </c>
      <c r="D38" s="13">
        <v>40187</v>
      </c>
      <c r="E38" s="13" t="s">
        <v>421</v>
      </c>
    </row>
    <row r="39" spans="1:6" x14ac:dyDescent="0.3">
      <c r="A39" s="13" t="s">
        <v>471</v>
      </c>
      <c r="B39" s="14" t="s">
        <v>422</v>
      </c>
      <c r="C39" s="13">
        <v>0.1</v>
      </c>
      <c r="D39" s="13">
        <v>41123</v>
      </c>
      <c r="E39" s="13" t="s">
        <v>382</v>
      </c>
    </row>
    <row r="40" spans="1:6" x14ac:dyDescent="0.3">
      <c r="A40" s="13" t="s">
        <v>471</v>
      </c>
      <c r="B40" s="14" t="s">
        <v>423</v>
      </c>
      <c r="C40" s="13">
        <v>0.1</v>
      </c>
      <c r="D40" s="13">
        <v>41124</v>
      </c>
      <c r="E40" s="13" t="s">
        <v>382</v>
      </c>
    </row>
    <row r="41" spans="1:6" x14ac:dyDescent="0.3">
      <c r="A41" s="13" t="s">
        <v>471</v>
      </c>
      <c r="B41" s="14" t="s">
        <v>424</v>
      </c>
      <c r="C41" s="13">
        <v>0.01</v>
      </c>
      <c r="D41" s="13">
        <v>41125</v>
      </c>
      <c r="E41" s="13" t="s">
        <v>382</v>
      </c>
    </row>
    <row r="42" spans="1:6" x14ac:dyDescent="0.3">
      <c r="A42" s="13" t="s">
        <v>471</v>
      </c>
      <c r="B42" s="14" t="s">
        <v>425</v>
      </c>
      <c r="C42" s="13">
        <v>0.1</v>
      </c>
      <c r="D42" s="13">
        <v>41143</v>
      </c>
      <c r="E42" s="13" t="s">
        <v>382</v>
      </c>
    </row>
    <row r="43" spans="1:6" x14ac:dyDescent="0.3">
      <c r="A43" s="13" t="s">
        <v>471</v>
      </c>
      <c r="B43" s="14" t="s">
        <v>426</v>
      </c>
      <c r="C43" s="13">
        <v>0.1</v>
      </c>
      <c r="D43" s="13">
        <v>41144</v>
      </c>
      <c r="E43" s="13" t="s">
        <v>382</v>
      </c>
    </row>
    <row r="44" spans="1:6" x14ac:dyDescent="0.3">
      <c r="A44" s="13" t="s">
        <v>471</v>
      </c>
      <c r="B44" s="14" t="s">
        <v>427</v>
      </c>
      <c r="C44" s="13">
        <v>0.01</v>
      </c>
      <c r="D44" s="13">
        <v>41145</v>
      </c>
      <c r="E44" s="13" t="s">
        <v>382</v>
      </c>
    </row>
    <row r="45" spans="1:6" x14ac:dyDescent="0.3">
      <c r="A45" s="13" t="s">
        <v>471</v>
      </c>
      <c r="B45" s="14" t="s">
        <v>428</v>
      </c>
      <c r="C45" s="13">
        <v>0.1</v>
      </c>
      <c r="D45" s="13">
        <v>41163</v>
      </c>
      <c r="E45" s="13" t="s">
        <v>382</v>
      </c>
    </row>
    <row r="46" spans="1:6" x14ac:dyDescent="0.3">
      <c r="A46" s="13" t="s">
        <v>471</v>
      </c>
      <c r="B46" s="14" t="s">
        <v>429</v>
      </c>
      <c r="C46" s="13">
        <v>0.1</v>
      </c>
      <c r="D46" s="13">
        <v>41164</v>
      </c>
      <c r="E46" s="13" t="s">
        <v>382</v>
      </c>
    </row>
    <row r="47" spans="1:6" x14ac:dyDescent="0.3">
      <c r="A47" s="13" t="s">
        <v>471</v>
      </c>
      <c r="B47" s="14" t="s">
        <v>430</v>
      </c>
      <c r="C47" s="13">
        <v>0.01</v>
      </c>
      <c r="D47" s="13">
        <v>41165</v>
      </c>
      <c r="E47" s="13" t="s">
        <v>382</v>
      </c>
    </row>
    <row r="48" spans="1:6" x14ac:dyDescent="0.3">
      <c r="A48" s="13" t="s">
        <v>471</v>
      </c>
      <c r="B48" s="14" t="s">
        <v>431</v>
      </c>
      <c r="C48" s="13">
        <v>0.1</v>
      </c>
      <c r="D48" s="13">
        <v>41183</v>
      </c>
      <c r="E48" s="13" t="s">
        <v>382</v>
      </c>
    </row>
    <row r="49" spans="1:5" x14ac:dyDescent="0.3">
      <c r="A49" s="13" t="s">
        <v>471</v>
      </c>
      <c r="B49" s="14" t="s">
        <v>432</v>
      </c>
      <c r="C49" s="13">
        <v>0.1</v>
      </c>
      <c r="D49" s="13">
        <v>41184</v>
      </c>
      <c r="E49" s="13" t="s">
        <v>382</v>
      </c>
    </row>
    <row r="50" spans="1:5" x14ac:dyDescent="0.3">
      <c r="A50" s="13" t="s">
        <v>471</v>
      </c>
      <c r="B50" s="14" t="s">
        <v>433</v>
      </c>
      <c r="C50" s="13">
        <v>0.01</v>
      </c>
      <c r="D50" s="13">
        <v>41185</v>
      </c>
      <c r="E50" s="13" t="s">
        <v>382</v>
      </c>
    </row>
    <row r="51" spans="1:5" x14ac:dyDescent="0.3">
      <c r="A51" s="13" t="s">
        <v>471</v>
      </c>
      <c r="B51" s="14" t="s">
        <v>434</v>
      </c>
      <c r="C51" s="13">
        <v>0.1</v>
      </c>
      <c r="D51" s="13">
        <v>41203</v>
      </c>
      <c r="E51" s="13" t="s">
        <v>382</v>
      </c>
    </row>
    <row r="52" spans="1:5" x14ac:dyDescent="0.3">
      <c r="A52" s="13" t="s">
        <v>471</v>
      </c>
      <c r="B52" s="14" t="s">
        <v>435</v>
      </c>
      <c r="C52" s="13">
        <v>0.1</v>
      </c>
      <c r="D52" s="13">
        <v>41204</v>
      </c>
      <c r="E52" s="13" t="s">
        <v>382</v>
      </c>
    </row>
    <row r="53" spans="1:5" x14ac:dyDescent="0.3">
      <c r="A53" s="13" t="s">
        <v>471</v>
      </c>
      <c r="B53" s="14" t="s">
        <v>436</v>
      </c>
      <c r="C53" s="13">
        <v>0.01</v>
      </c>
      <c r="D53" s="13">
        <v>41205</v>
      </c>
      <c r="E53" s="13" t="s">
        <v>382</v>
      </c>
    </row>
    <row r="54" spans="1:5" x14ac:dyDescent="0.3">
      <c r="A54" s="13" t="s">
        <v>471</v>
      </c>
      <c r="B54" s="14" t="s">
        <v>437</v>
      </c>
      <c r="C54" s="13">
        <v>0.1</v>
      </c>
      <c r="D54" s="13">
        <v>41223</v>
      </c>
      <c r="E54" s="13" t="s">
        <v>382</v>
      </c>
    </row>
    <row r="55" spans="1:5" x14ac:dyDescent="0.3">
      <c r="A55" s="13" t="s">
        <v>471</v>
      </c>
      <c r="B55" s="14" t="s">
        <v>438</v>
      </c>
      <c r="C55" s="13">
        <v>0.1</v>
      </c>
      <c r="D55" s="13">
        <v>41224</v>
      </c>
      <c r="E55" s="13" t="s">
        <v>382</v>
      </c>
    </row>
    <row r="56" spans="1:5" x14ac:dyDescent="0.3">
      <c r="A56" s="13" t="s">
        <v>471</v>
      </c>
      <c r="B56" s="14" t="s">
        <v>439</v>
      </c>
      <c r="C56" s="13">
        <v>0.01</v>
      </c>
      <c r="D56" s="13">
        <v>41225</v>
      </c>
      <c r="E56" s="13" t="s">
        <v>382</v>
      </c>
    </row>
    <row r="57" spans="1:5" x14ac:dyDescent="0.3">
      <c r="A57" s="13" t="s">
        <v>471</v>
      </c>
      <c r="B57" s="14" t="s">
        <v>440</v>
      </c>
      <c r="C57" s="13">
        <v>0.1</v>
      </c>
      <c r="D57" s="13">
        <v>41257</v>
      </c>
      <c r="E57" s="13" t="s">
        <v>395</v>
      </c>
    </row>
    <row r="58" spans="1:5" x14ac:dyDescent="0.3">
      <c r="A58" s="13" t="s">
        <v>471</v>
      </c>
      <c r="B58" s="14" t="s">
        <v>441</v>
      </c>
      <c r="C58" s="13">
        <v>0.1</v>
      </c>
      <c r="D58" s="13">
        <v>41265</v>
      </c>
      <c r="E58" s="13" t="s">
        <v>395</v>
      </c>
    </row>
    <row r="59" spans="1:5" x14ac:dyDescent="0.3">
      <c r="A59" s="13" t="s">
        <v>471</v>
      </c>
      <c r="B59" s="14" t="s">
        <v>442</v>
      </c>
      <c r="C59" s="13">
        <v>0.1</v>
      </c>
      <c r="D59" s="13">
        <v>41273</v>
      </c>
      <c r="E59" s="13" t="s">
        <v>395</v>
      </c>
    </row>
    <row r="60" spans="1:5" x14ac:dyDescent="0.3">
      <c r="A60" s="13" t="s">
        <v>471</v>
      </c>
      <c r="B60" s="14" t="s">
        <v>443</v>
      </c>
      <c r="C60" s="13">
        <v>0.1</v>
      </c>
      <c r="D60" s="13">
        <v>41281</v>
      </c>
      <c r="E60" s="13" t="s">
        <v>395</v>
      </c>
    </row>
    <row r="61" spans="1:5" x14ac:dyDescent="0.3">
      <c r="A61" s="13" t="s">
        <v>471</v>
      </c>
      <c r="B61" s="14" t="s">
        <v>444</v>
      </c>
      <c r="C61" s="13">
        <v>0.1</v>
      </c>
      <c r="D61" s="13">
        <v>41289</v>
      </c>
      <c r="E61" s="13" t="s">
        <v>395</v>
      </c>
    </row>
    <row r="62" spans="1:5" x14ac:dyDescent="0.3">
      <c r="A62" s="13" t="s">
        <v>471</v>
      </c>
      <c r="B62" s="14" t="s">
        <v>445</v>
      </c>
      <c r="C62" s="13">
        <v>0.1</v>
      </c>
      <c r="D62" s="13">
        <v>41297</v>
      </c>
      <c r="E62" s="13" t="s">
        <v>395</v>
      </c>
    </row>
    <row r="63" spans="1:5" x14ac:dyDescent="0.3">
      <c r="A63" s="13" t="s">
        <v>471</v>
      </c>
      <c r="B63" s="14" t="s">
        <v>446</v>
      </c>
      <c r="C63" s="13">
        <v>0.1</v>
      </c>
      <c r="D63" s="13">
        <v>41305</v>
      </c>
      <c r="E63" s="13" t="s">
        <v>395</v>
      </c>
    </row>
    <row r="64" spans="1:5" x14ac:dyDescent="0.3">
      <c r="A64" s="13" t="s">
        <v>471</v>
      </c>
      <c r="B64" s="14" t="s">
        <v>447</v>
      </c>
      <c r="C64" s="13">
        <v>0.1</v>
      </c>
      <c r="D64" s="13">
        <v>41313</v>
      </c>
      <c r="E64" s="13" t="s">
        <v>395</v>
      </c>
    </row>
    <row r="65" spans="1:5" x14ac:dyDescent="0.3">
      <c r="A65" s="13" t="s">
        <v>471</v>
      </c>
      <c r="B65" s="14" t="s">
        <v>448</v>
      </c>
      <c r="C65" s="13">
        <v>0.1</v>
      </c>
      <c r="D65" s="13">
        <v>41321</v>
      </c>
      <c r="E65" s="13" t="s">
        <v>395</v>
      </c>
    </row>
    <row r="66" spans="1:5" x14ac:dyDescent="0.3">
      <c r="A66" s="13" t="s">
        <v>471</v>
      </c>
      <c r="B66" s="14" t="s">
        <v>449</v>
      </c>
      <c r="C66" s="13">
        <v>0.1</v>
      </c>
      <c r="D66" s="13">
        <v>41329</v>
      </c>
      <c r="E66" s="13" t="s">
        <v>395</v>
      </c>
    </row>
    <row r="67" spans="1:5" x14ac:dyDescent="0.3">
      <c r="A67" s="13" t="s">
        <v>471</v>
      </c>
      <c r="B67" s="14" t="s">
        <v>450</v>
      </c>
      <c r="C67" s="13">
        <v>0.1</v>
      </c>
      <c r="D67" s="13">
        <v>41337</v>
      </c>
      <c r="E67" s="13" t="s">
        <v>395</v>
      </c>
    </row>
    <row r="68" spans="1:5" x14ac:dyDescent="0.3">
      <c r="A68" s="13" t="s">
        <v>471</v>
      </c>
      <c r="B68" s="14" t="s">
        <v>451</v>
      </c>
      <c r="C68" s="13">
        <v>0.1</v>
      </c>
      <c r="D68" s="13">
        <v>41345</v>
      </c>
      <c r="E68" s="13" t="s">
        <v>395</v>
      </c>
    </row>
    <row r="69" spans="1:5" x14ac:dyDescent="0.3">
      <c r="A69" s="13" t="s">
        <v>471</v>
      </c>
      <c r="B69" s="14" t="s">
        <v>452</v>
      </c>
      <c r="C69" s="13">
        <v>0.1</v>
      </c>
      <c r="D69" s="13">
        <v>41353</v>
      </c>
      <c r="E69" s="13" t="s">
        <v>395</v>
      </c>
    </row>
    <row r="70" spans="1:5" x14ac:dyDescent="0.3">
      <c r="A70" s="13" t="s">
        <v>471</v>
      </c>
      <c r="B70" s="14" t="s">
        <v>453</v>
      </c>
      <c r="C70" s="13">
        <v>0.1</v>
      </c>
      <c r="D70" s="13">
        <v>41361</v>
      </c>
      <c r="E70" s="13" t="s">
        <v>395</v>
      </c>
    </row>
    <row r="71" spans="1:5" x14ac:dyDescent="0.3">
      <c r="A71" s="13" t="s">
        <v>471</v>
      </c>
      <c r="B71" s="14" t="s">
        <v>454</v>
      </c>
      <c r="C71" s="13">
        <v>0.1</v>
      </c>
      <c r="D71" s="13">
        <v>41369</v>
      </c>
      <c r="E71" s="13" t="s">
        <v>395</v>
      </c>
    </row>
    <row r="72" spans="1:5" x14ac:dyDescent="0.3">
      <c r="A72" s="13" t="s">
        <v>471</v>
      </c>
      <c r="B72" s="14" t="s">
        <v>455</v>
      </c>
      <c r="C72" s="13">
        <v>0.1</v>
      </c>
      <c r="D72" s="13">
        <v>41377</v>
      </c>
      <c r="E72" s="13" t="s">
        <v>395</v>
      </c>
    </row>
    <row r="73" spans="1:5" x14ac:dyDescent="0.3">
      <c r="A73" s="13" t="s">
        <v>471</v>
      </c>
      <c r="B73" s="14" t="s">
        <v>456</v>
      </c>
      <c r="C73" s="13">
        <v>0.1</v>
      </c>
      <c r="D73" s="13">
        <v>41385</v>
      </c>
      <c r="E73" s="13" t="s">
        <v>395</v>
      </c>
    </row>
    <row r="74" spans="1:5" x14ac:dyDescent="0.3">
      <c r="A74" s="13" t="s">
        <v>471</v>
      </c>
      <c r="B74" s="14" t="s">
        <v>457</v>
      </c>
      <c r="C74" s="13">
        <v>0.1</v>
      </c>
      <c r="D74" s="13">
        <v>41393</v>
      </c>
      <c r="E74" s="13" t="s">
        <v>395</v>
      </c>
    </row>
    <row r="75" spans="1:5" x14ac:dyDescent="0.3">
      <c r="A75" s="13" t="s">
        <v>471</v>
      </c>
      <c r="B75" s="14" t="s">
        <v>458</v>
      </c>
      <c r="C75" s="13">
        <v>0.1</v>
      </c>
      <c r="D75" s="13">
        <v>41401</v>
      </c>
      <c r="E75" s="13" t="s">
        <v>395</v>
      </c>
    </row>
    <row r="76" spans="1:5" x14ac:dyDescent="0.3">
      <c r="A76" s="13" t="s">
        <v>471</v>
      </c>
      <c r="B76" s="14" t="s">
        <v>459</v>
      </c>
      <c r="C76" s="13">
        <v>0.1</v>
      </c>
      <c r="D76" s="13">
        <v>41409</v>
      </c>
      <c r="E76" s="13" t="s">
        <v>395</v>
      </c>
    </row>
    <row r="77" spans="1:5" x14ac:dyDescent="0.3">
      <c r="A77" s="13" t="s">
        <v>471</v>
      </c>
      <c r="B77" s="14" t="s">
        <v>460</v>
      </c>
      <c r="C77" s="13">
        <v>0.1</v>
      </c>
      <c r="D77" s="13">
        <v>41417</v>
      </c>
      <c r="E77" s="13" t="s">
        <v>395</v>
      </c>
    </row>
    <row r="78" spans="1:5" x14ac:dyDescent="0.3">
      <c r="A78" s="13" t="s">
        <v>471</v>
      </c>
      <c r="B78" s="14" t="s">
        <v>461</v>
      </c>
      <c r="C78" s="13">
        <v>0.1</v>
      </c>
      <c r="D78" s="13">
        <v>41425</v>
      </c>
      <c r="E78" s="13" t="s">
        <v>395</v>
      </c>
    </row>
    <row r="79" spans="1:5" x14ac:dyDescent="0.3">
      <c r="A79" s="13" t="s">
        <v>471</v>
      </c>
      <c r="B79" s="14" t="s">
        <v>462</v>
      </c>
      <c r="C79" s="13">
        <v>0.1</v>
      </c>
      <c r="D79" s="13">
        <v>41433</v>
      </c>
      <c r="E79" s="13" t="s">
        <v>395</v>
      </c>
    </row>
    <row r="80" spans="1:5" x14ac:dyDescent="0.3">
      <c r="A80" s="13" t="s">
        <v>471</v>
      </c>
      <c r="B80" s="14" t="s">
        <v>463</v>
      </c>
      <c r="C80" s="13">
        <v>0.1</v>
      </c>
      <c r="D80" s="13">
        <v>41441</v>
      </c>
      <c r="E80" s="13" t="s">
        <v>395</v>
      </c>
    </row>
    <row r="81" spans="1:5" x14ac:dyDescent="0.3">
      <c r="A81" s="13" t="s">
        <v>471</v>
      </c>
      <c r="B81" s="14" t="s">
        <v>464</v>
      </c>
      <c r="C81" s="13">
        <v>1</v>
      </c>
      <c r="D81" s="13">
        <v>40110</v>
      </c>
      <c r="E81" s="13" t="s">
        <v>465</v>
      </c>
    </row>
    <row r="82" spans="1:5" x14ac:dyDescent="0.3">
      <c r="A82" s="13" t="s">
        <v>472</v>
      </c>
      <c r="B82" s="14" t="s">
        <v>466</v>
      </c>
      <c r="C82" s="13">
        <v>0.1</v>
      </c>
      <c r="D82" s="13">
        <v>40233</v>
      </c>
      <c r="E82" s="13" t="s">
        <v>382</v>
      </c>
    </row>
    <row r="83" spans="1:5" x14ac:dyDescent="0.3">
      <c r="B83" s="14"/>
    </row>
    <row r="84" spans="1:5" x14ac:dyDescent="0.3">
      <c r="B84" s="14"/>
    </row>
    <row r="85" spans="1:5" x14ac:dyDescent="0.3">
      <c r="B85" s="14"/>
    </row>
    <row r="86" spans="1:5" x14ac:dyDescent="0.3">
      <c r="B86" s="14"/>
    </row>
    <row r="87" spans="1:5" x14ac:dyDescent="0.3">
      <c r="B87" s="14"/>
    </row>
    <row r="88" spans="1:5" x14ac:dyDescent="0.3">
      <c r="B88" s="14"/>
    </row>
  </sheetData>
  <dataValidations count="1">
    <dataValidation type="list" allowBlank="1" showInputMessage="1" showErrorMessage="1" sqref="A2:A82" xr:uid="{8FBA4E08-9808-4200-996F-A00032435DC8}">
      <formula1>"""use"",""not use"""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4130-CCD6-4A02-AD36-C1F86F64BDB8}">
  <dimension ref="A1:F88"/>
  <sheetViews>
    <sheetView topLeftCell="A15" zoomScaleNormal="100" workbookViewId="0">
      <selection activeCell="F37" sqref="F37"/>
    </sheetView>
  </sheetViews>
  <sheetFormatPr defaultColWidth="8" defaultRowHeight="11.25" x14ac:dyDescent="0.3"/>
  <cols>
    <col min="1" max="1" width="8" style="9"/>
    <col min="2" max="2" width="30.625" style="9" customWidth="1"/>
    <col min="3" max="3" width="8" style="9"/>
    <col min="4" max="4" width="10" style="9" customWidth="1"/>
    <col min="5" max="5" width="10.875" style="9" customWidth="1"/>
    <col min="6" max="6" width="27.875" style="9" customWidth="1"/>
    <col min="7" max="16384" width="8" style="9"/>
  </cols>
  <sheetData>
    <row r="1" spans="1:6" ht="12.75" x14ac:dyDescent="0.3">
      <c r="A1" s="11" t="s">
        <v>473</v>
      </c>
      <c r="B1" s="11" t="s">
        <v>97</v>
      </c>
      <c r="C1" s="11" t="s">
        <v>467</v>
      </c>
      <c r="D1" s="11" t="s">
        <v>469</v>
      </c>
      <c r="E1" s="11" t="s">
        <v>468</v>
      </c>
      <c r="F1" s="12" t="s">
        <v>18</v>
      </c>
    </row>
    <row r="2" spans="1:6" x14ac:dyDescent="0.3">
      <c r="A2" s="13" t="s">
        <v>471</v>
      </c>
      <c r="B2" s="14" t="s">
        <v>379</v>
      </c>
      <c r="C2" s="13">
        <v>1</v>
      </c>
      <c r="D2" s="13">
        <v>40072</v>
      </c>
      <c r="E2" s="13" t="s">
        <v>382</v>
      </c>
    </row>
    <row r="3" spans="1:6" x14ac:dyDescent="0.3">
      <c r="A3" s="13" t="s">
        <v>471</v>
      </c>
      <c r="B3" s="14" t="s">
        <v>383</v>
      </c>
      <c r="C3" s="13">
        <v>0.1</v>
      </c>
      <c r="D3" s="13">
        <v>40073</v>
      </c>
      <c r="E3" s="13" t="s">
        <v>382</v>
      </c>
    </row>
    <row r="4" spans="1:6" x14ac:dyDescent="0.3">
      <c r="A4" s="13" t="s">
        <v>471</v>
      </c>
      <c r="B4" s="14" t="s">
        <v>384</v>
      </c>
      <c r="C4" s="13">
        <v>0.1</v>
      </c>
      <c r="D4" s="13">
        <v>40074</v>
      </c>
      <c r="E4" s="13" t="s">
        <v>382</v>
      </c>
    </row>
    <row r="5" spans="1:6" x14ac:dyDescent="0.3">
      <c r="A5" s="13" t="s">
        <v>471</v>
      </c>
      <c r="B5" s="14" t="s">
        <v>385</v>
      </c>
      <c r="C5" s="13">
        <v>0.1</v>
      </c>
      <c r="D5" s="13">
        <v>40075</v>
      </c>
      <c r="E5" s="13" t="s">
        <v>382</v>
      </c>
    </row>
    <row r="6" spans="1:6" x14ac:dyDescent="0.3">
      <c r="A6" s="13" t="s">
        <v>471</v>
      </c>
      <c r="B6" s="14" t="s">
        <v>386</v>
      </c>
      <c r="C6" s="13">
        <v>1</v>
      </c>
      <c r="D6" s="13">
        <v>40076</v>
      </c>
      <c r="E6" s="13" t="s">
        <v>382</v>
      </c>
    </row>
    <row r="7" spans="1:6" x14ac:dyDescent="0.3">
      <c r="A7" s="13" t="s">
        <v>471</v>
      </c>
      <c r="B7" s="14" t="s">
        <v>387</v>
      </c>
      <c r="C7" s="13">
        <v>0.1</v>
      </c>
      <c r="D7" s="13">
        <v>40077</v>
      </c>
      <c r="E7" s="13" t="s">
        <v>382</v>
      </c>
    </row>
    <row r="8" spans="1:6" x14ac:dyDescent="0.3">
      <c r="A8" s="13" t="s">
        <v>471</v>
      </c>
      <c r="B8" s="14" t="s">
        <v>388</v>
      </c>
      <c r="C8" s="13">
        <v>0.1</v>
      </c>
      <c r="D8" s="13">
        <v>40078</v>
      </c>
      <c r="E8" s="13" t="s">
        <v>382</v>
      </c>
    </row>
    <row r="9" spans="1:6" x14ac:dyDescent="0.3">
      <c r="A9" s="13" t="s">
        <v>471</v>
      </c>
      <c r="B9" s="14" t="s">
        <v>389</v>
      </c>
      <c r="C9" s="13">
        <v>0.1</v>
      </c>
      <c r="D9" s="13">
        <v>40079</v>
      </c>
      <c r="E9" s="13" t="s">
        <v>382</v>
      </c>
    </row>
    <row r="10" spans="1:6" x14ac:dyDescent="0.3">
      <c r="A10" s="13" t="s">
        <v>471</v>
      </c>
      <c r="B10" s="14" t="s">
        <v>390</v>
      </c>
      <c r="C10" s="13">
        <v>0.1</v>
      </c>
      <c r="D10" s="13">
        <v>40080</v>
      </c>
      <c r="E10" s="13" t="s">
        <v>382</v>
      </c>
    </row>
    <row r="11" spans="1:6" x14ac:dyDescent="0.3">
      <c r="A11" s="13" t="s">
        <v>471</v>
      </c>
      <c r="B11" s="14" t="s">
        <v>391</v>
      </c>
      <c r="C11" s="13">
        <v>0.1</v>
      </c>
      <c r="D11" s="13">
        <v>40081</v>
      </c>
      <c r="E11" s="13" t="s">
        <v>382</v>
      </c>
    </row>
    <row r="12" spans="1:6" x14ac:dyDescent="0.3">
      <c r="A12" s="13" t="s">
        <v>471</v>
      </c>
      <c r="B12" s="14" t="s">
        <v>392</v>
      </c>
      <c r="C12" s="13">
        <v>0.1</v>
      </c>
      <c r="D12" s="13">
        <v>40082</v>
      </c>
      <c r="E12" s="13" t="s">
        <v>382</v>
      </c>
    </row>
    <row r="13" spans="1:6" x14ac:dyDescent="0.3">
      <c r="A13" s="13" t="s">
        <v>471</v>
      </c>
      <c r="B13" s="14" t="s">
        <v>393</v>
      </c>
      <c r="C13" s="13">
        <v>1</v>
      </c>
      <c r="D13" s="13">
        <v>40083</v>
      </c>
      <c r="E13" s="13" t="s">
        <v>382</v>
      </c>
    </row>
    <row r="14" spans="1:6" x14ac:dyDescent="0.3">
      <c r="A14" s="13" t="s">
        <v>472</v>
      </c>
      <c r="B14" s="14" t="s">
        <v>394</v>
      </c>
      <c r="C14" s="13">
        <v>0.01</v>
      </c>
      <c r="D14" s="13">
        <v>40084</v>
      </c>
      <c r="E14" s="13" t="s">
        <v>395</v>
      </c>
    </row>
    <row r="15" spans="1:6" x14ac:dyDescent="0.3">
      <c r="A15" s="13" t="s">
        <v>471</v>
      </c>
      <c r="B15" s="14" t="s">
        <v>396</v>
      </c>
      <c r="C15" s="13">
        <v>1</v>
      </c>
      <c r="D15" s="13">
        <v>40085</v>
      </c>
      <c r="E15" s="13" t="s">
        <v>395</v>
      </c>
    </row>
    <row r="16" spans="1:6" x14ac:dyDescent="0.3">
      <c r="A16" s="13" t="s">
        <v>471</v>
      </c>
      <c r="B16" s="14" t="s">
        <v>397</v>
      </c>
      <c r="C16" s="13">
        <v>0.01</v>
      </c>
      <c r="D16" s="13">
        <v>40086</v>
      </c>
      <c r="E16" s="13" t="s">
        <v>382</v>
      </c>
    </row>
    <row r="17" spans="1:5" x14ac:dyDescent="0.3">
      <c r="A17" s="13" t="s">
        <v>471</v>
      </c>
      <c r="B17" s="14" t="s">
        <v>398</v>
      </c>
      <c r="C17" s="13">
        <v>1</v>
      </c>
      <c r="D17" s="13">
        <v>40087</v>
      </c>
      <c r="E17" s="13" t="s">
        <v>382</v>
      </c>
    </row>
    <row r="18" spans="1:5" x14ac:dyDescent="0.3">
      <c r="A18" s="13" t="s">
        <v>471</v>
      </c>
      <c r="B18" s="14" t="s">
        <v>399</v>
      </c>
      <c r="C18" s="13">
        <v>0.01</v>
      </c>
      <c r="D18" s="13">
        <v>40088</v>
      </c>
      <c r="E18" s="13" t="s">
        <v>395</v>
      </c>
    </row>
    <row r="19" spans="1:5" x14ac:dyDescent="0.3">
      <c r="A19" s="13" t="s">
        <v>471</v>
      </c>
      <c r="B19" s="14" t="s">
        <v>400</v>
      </c>
      <c r="C19" s="13">
        <v>1</v>
      </c>
      <c r="D19" s="13">
        <v>40089</v>
      </c>
      <c r="E19" s="13" t="s">
        <v>395</v>
      </c>
    </row>
    <row r="20" spans="1:5" x14ac:dyDescent="0.3">
      <c r="A20" s="13" t="s">
        <v>471</v>
      </c>
      <c r="B20" s="14" t="s">
        <v>401</v>
      </c>
      <c r="C20" s="13">
        <v>0.01</v>
      </c>
      <c r="D20" s="13">
        <v>40090</v>
      </c>
      <c r="E20" s="13" t="s">
        <v>395</v>
      </c>
    </row>
    <row r="21" spans="1:5" x14ac:dyDescent="0.3">
      <c r="A21" s="13" t="s">
        <v>471</v>
      </c>
      <c r="B21" s="14" t="s">
        <v>402</v>
      </c>
      <c r="C21" s="13">
        <v>1</v>
      </c>
      <c r="D21" s="13">
        <v>40091</v>
      </c>
      <c r="E21" s="13" t="s">
        <v>395</v>
      </c>
    </row>
    <row r="22" spans="1:5" x14ac:dyDescent="0.3">
      <c r="A22" s="13" t="s">
        <v>471</v>
      </c>
      <c r="B22" s="14" t="s">
        <v>403</v>
      </c>
      <c r="C22" s="13">
        <v>1E-4</v>
      </c>
      <c r="D22" s="13">
        <v>40092</v>
      </c>
      <c r="E22" s="13" t="s">
        <v>395</v>
      </c>
    </row>
    <row r="23" spans="1:5" x14ac:dyDescent="0.3">
      <c r="A23" s="13" t="s">
        <v>471</v>
      </c>
      <c r="B23" s="14" t="s">
        <v>404</v>
      </c>
      <c r="C23" s="13">
        <v>1</v>
      </c>
      <c r="D23" s="13">
        <v>40093</v>
      </c>
      <c r="E23" s="13" t="s">
        <v>395</v>
      </c>
    </row>
    <row r="24" spans="1:5" x14ac:dyDescent="0.3">
      <c r="A24" s="13" t="s">
        <v>471</v>
      </c>
      <c r="B24" s="14" t="s">
        <v>405</v>
      </c>
      <c r="C24" s="13">
        <v>0.01</v>
      </c>
      <c r="D24" s="13">
        <v>40094</v>
      </c>
      <c r="E24" s="13" t="s">
        <v>406</v>
      </c>
    </row>
    <row r="25" spans="1:5" x14ac:dyDescent="0.3">
      <c r="A25" s="13" t="s">
        <v>471</v>
      </c>
      <c r="B25" s="14" t="s">
        <v>407</v>
      </c>
      <c r="C25" s="13">
        <v>1</v>
      </c>
      <c r="D25" s="13">
        <v>40096</v>
      </c>
      <c r="E25" s="13" t="s">
        <v>382</v>
      </c>
    </row>
    <row r="26" spans="1:5" x14ac:dyDescent="0.3">
      <c r="A26" s="13" t="s">
        <v>471</v>
      </c>
      <c r="B26" s="14" t="s">
        <v>408</v>
      </c>
      <c r="C26" s="13">
        <v>0.1</v>
      </c>
      <c r="D26" s="13">
        <v>40097</v>
      </c>
      <c r="E26" s="13" t="s">
        <v>382</v>
      </c>
    </row>
    <row r="27" spans="1:5" x14ac:dyDescent="0.3">
      <c r="A27" s="13" t="s">
        <v>471</v>
      </c>
      <c r="B27" s="14" t="s">
        <v>409</v>
      </c>
      <c r="C27" s="13">
        <v>1</v>
      </c>
      <c r="D27" s="13">
        <v>40098</v>
      </c>
      <c r="E27" s="13" t="s">
        <v>382</v>
      </c>
    </row>
    <row r="28" spans="1:5" x14ac:dyDescent="0.3">
      <c r="A28" s="13" t="s">
        <v>471</v>
      </c>
      <c r="B28" s="14" t="s">
        <v>410</v>
      </c>
      <c r="C28" s="13">
        <v>0.1</v>
      </c>
      <c r="D28" s="13">
        <v>40099</v>
      </c>
      <c r="E28" s="13" t="s">
        <v>382</v>
      </c>
    </row>
    <row r="29" spans="1:5" x14ac:dyDescent="0.3">
      <c r="A29" s="13" t="s">
        <v>471</v>
      </c>
      <c r="B29" s="14" t="s">
        <v>411</v>
      </c>
      <c r="C29" s="13">
        <v>1</v>
      </c>
      <c r="D29" s="13">
        <v>40100</v>
      </c>
      <c r="E29" s="13" t="s">
        <v>382</v>
      </c>
    </row>
    <row r="30" spans="1:5" x14ac:dyDescent="0.3">
      <c r="A30" s="13" t="s">
        <v>471</v>
      </c>
      <c r="B30" s="14" t="s">
        <v>412</v>
      </c>
      <c r="C30" s="13">
        <v>0.01</v>
      </c>
      <c r="D30" s="13">
        <v>40101</v>
      </c>
      <c r="E30" s="13" t="s">
        <v>395</v>
      </c>
    </row>
    <row r="31" spans="1:5" x14ac:dyDescent="0.3">
      <c r="A31" s="13" t="s">
        <v>471</v>
      </c>
      <c r="B31" s="14" t="s">
        <v>413</v>
      </c>
      <c r="C31" s="13">
        <v>1</v>
      </c>
      <c r="D31" s="13">
        <v>40102</v>
      </c>
      <c r="E31" s="13" t="s">
        <v>395</v>
      </c>
    </row>
    <row r="32" spans="1:5" x14ac:dyDescent="0.3">
      <c r="A32" s="13" t="s">
        <v>471</v>
      </c>
      <c r="B32" s="14" t="s">
        <v>414</v>
      </c>
      <c r="C32" s="13">
        <v>0.1</v>
      </c>
      <c r="D32" s="13">
        <v>40103</v>
      </c>
      <c r="E32" s="13" t="s">
        <v>395</v>
      </c>
    </row>
    <row r="33" spans="1:6" x14ac:dyDescent="0.3">
      <c r="A33" s="13" t="s">
        <v>471</v>
      </c>
      <c r="B33" s="14" t="s">
        <v>415</v>
      </c>
      <c r="C33" s="13">
        <v>0.1</v>
      </c>
      <c r="D33" s="13">
        <v>40104</v>
      </c>
      <c r="E33" s="13" t="s">
        <v>395</v>
      </c>
    </row>
    <row r="34" spans="1:6" x14ac:dyDescent="0.3">
      <c r="A34" s="13" t="s">
        <v>471</v>
      </c>
      <c r="B34" s="14" t="s">
        <v>416</v>
      </c>
      <c r="C34" s="13">
        <v>0.1</v>
      </c>
      <c r="D34" s="13">
        <v>40105</v>
      </c>
      <c r="E34" s="13" t="s">
        <v>395</v>
      </c>
    </row>
    <row r="35" spans="1:6" x14ac:dyDescent="0.3">
      <c r="A35" s="13" t="s">
        <v>471</v>
      </c>
      <c r="B35" s="14" t="s">
        <v>417</v>
      </c>
      <c r="C35" s="13">
        <v>0.1</v>
      </c>
      <c r="D35" s="13">
        <v>40106</v>
      </c>
      <c r="E35" s="13" t="s">
        <v>395</v>
      </c>
    </row>
    <row r="36" spans="1:6" x14ac:dyDescent="0.3">
      <c r="A36" s="13" t="s">
        <v>471</v>
      </c>
      <c r="B36" s="14" t="s">
        <v>418</v>
      </c>
      <c r="C36" s="13">
        <v>1</v>
      </c>
      <c r="D36" s="13">
        <v>40107</v>
      </c>
      <c r="E36" s="13" t="s">
        <v>395</v>
      </c>
    </row>
    <row r="37" spans="1:6" ht="90" x14ac:dyDescent="0.3">
      <c r="A37" s="13" t="s">
        <v>472</v>
      </c>
      <c r="B37" s="14" t="s">
        <v>419</v>
      </c>
      <c r="C37" s="13">
        <v>1</v>
      </c>
      <c r="D37" s="13">
        <v>40108</v>
      </c>
      <c r="E37" s="13" t="s">
        <v>382</v>
      </c>
      <c r="F37" s="10" t="s">
        <v>470</v>
      </c>
    </row>
    <row r="38" spans="1:6" x14ac:dyDescent="0.3">
      <c r="A38" s="13" t="s">
        <v>471</v>
      </c>
      <c r="B38" s="14" t="s">
        <v>420</v>
      </c>
      <c r="C38" s="13">
        <v>1</v>
      </c>
      <c r="D38" s="13">
        <v>40187</v>
      </c>
      <c r="E38" s="13" t="s">
        <v>421</v>
      </c>
    </row>
    <row r="39" spans="1:6" x14ac:dyDescent="0.3">
      <c r="A39" s="13" t="s">
        <v>471</v>
      </c>
      <c r="B39" s="14" t="s">
        <v>422</v>
      </c>
      <c r="C39" s="13">
        <v>0.1</v>
      </c>
      <c r="D39" s="13">
        <v>41123</v>
      </c>
      <c r="E39" s="13" t="s">
        <v>382</v>
      </c>
    </row>
    <row r="40" spans="1:6" x14ac:dyDescent="0.3">
      <c r="A40" s="13" t="s">
        <v>471</v>
      </c>
      <c r="B40" s="14" t="s">
        <v>423</v>
      </c>
      <c r="C40" s="13">
        <v>0.1</v>
      </c>
      <c r="D40" s="13">
        <v>41124</v>
      </c>
      <c r="E40" s="13" t="s">
        <v>382</v>
      </c>
    </row>
    <row r="41" spans="1:6" x14ac:dyDescent="0.3">
      <c r="A41" s="13" t="s">
        <v>471</v>
      </c>
      <c r="B41" s="14" t="s">
        <v>424</v>
      </c>
      <c r="C41" s="13">
        <v>0.01</v>
      </c>
      <c r="D41" s="13">
        <v>41125</v>
      </c>
      <c r="E41" s="13" t="s">
        <v>382</v>
      </c>
    </row>
    <row r="42" spans="1:6" x14ac:dyDescent="0.3">
      <c r="A42" s="13" t="s">
        <v>471</v>
      </c>
      <c r="B42" s="14" t="s">
        <v>425</v>
      </c>
      <c r="C42" s="13">
        <v>0.1</v>
      </c>
      <c r="D42" s="13">
        <v>41143</v>
      </c>
      <c r="E42" s="13" t="s">
        <v>382</v>
      </c>
    </row>
    <row r="43" spans="1:6" x14ac:dyDescent="0.3">
      <c r="A43" s="13" t="s">
        <v>471</v>
      </c>
      <c r="B43" s="14" t="s">
        <v>426</v>
      </c>
      <c r="C43" s="13">
        <v>0.1</v>
      </c>
      <c r="D43" s="13">
        <v>41144</v>
      </c>
      <c r="E43" s="13" t="s">
        <v>382</v>
      </c>
    </row>
    <row r="44" spans="1:6" x14ac:dyDescent="0.3">
      <c r="A44" s="13" t="s">
        <v>471</v>
      </c>
      <c r="B44" s="14" t="s">
        <v>427</v>
      </c>
      <c r="C44" s="13">
        <v>0.01</v>
      </c>
      <c r="D44" s="13">
        <v>41145</v>
      </c>
      <c r="E44" s="13" t="s">
        <v>382</v>
      </c>
    </row>
    <row r="45" spans="1:6" x14ac:dyDescent="0.3">
      <c r="A45" s="13" t="s">
        <v>471</v>
      </c>
      <c r="B45" s="14" t="s">
        <v>428</v>
      </c>
      <c r="C45" s="13">
        <v>0.1</v>
      </c>
      <c r="D45" s="13">
        <v>41163</v>
      </c>
      <c r="E45" s="13" t="s">
        <v>382</v>
      </c>
    </row>
    <row r="46" spans="1:6" x14ac:dyDescent="0.3">
      <c r="A46" s="13" t="s">
        <v>471</v>
      </c>
      <c r="B46" s="14" t="s">
        <v>429</v>
      </c>
      <c r="C46" s="13">
        <v>0.1</v>
      </c>
      <c r="D46" s="13">
        <v>41164</v>
      </c>
      <c r="E46" s="13" t="s">
        <v>382</v>
      </c>
    </row>
    <row r="47" spans="1:6" x14ac:dyDescent="0.3">
      <c r="A47" s="13" t="s">
        <v>471</v>
      </c>
      <c r="B47" s="14" t="s">
        <v>430</v>
      </c>
      <c r="C47" s="13">
        <v>0.01</v>
      </c>
      <c r="D47" s="13">
        <v>41165</v>
      </c>
      <c r="E47" s="13" t="s">
        <v>382</v>
      </c>
    </row>
    <row r="48" spans="1:6" x14ac:dyDescent="0.3">
      <c r="A48" s="13" t="s">
        <v>471</v>
      </c>
      <c r="B48" s="14" t="s">
        <v>464</v>
      </c>
      <c r="C48" s="13">
        <v>1</v>
      </c>
      <c r="D48" s="13">
        <v>40110</v>
      </c>
      <c r="E48" s="13" t="s">
        <v>465</v>
      </c>
    </row>
    <row r="49" spans="1:5" x14ac:dyDescent="0.3">
      <c r="A49" s="13" t="s">
        <v>472</v>
      </c>
      <c r="B49" s="14" t="s">
        <v>466</v>
      </c>
      <c r="C49" s="13">
        <v>0.1</v>
      </c>
      <c r="D49" s="13">
        <v>40233</v>
      </c>
      <c r="E49" s="13" t="s">
        <v>382</v>
      </c>
    </row>
    <row r="50" spans="1:5" x14ac:dyDescent="0.3">
      <c r="B50" s="14"/>
    </row>
    <row r="51" spans="1:5" x14ac:dyDescent="0.3">
      <c r="B51" s="14"/>
    </row>
    <row r="52" spans="1:5" x14ac:dyDescent="0.3">
      <c r="B52" s="14"/>
    </row>
    <row r="53" spans="1:5" x14ac:dyDescent="0.3">
      <c r="B53" s="14"/>
    </row>
    <row r="54" spans="1:5" x14ac:dyDescent="0.3">
      <c r="B54" s="14"/>
    </row>
    <row r="55" spans="1:5" x14ac:dyDescent="0.3">
      <c r="B55" s="14"/>
    </row>
    <row r="56" spans="1:5" x14ac:dyDescent="0.3">
      <c r="B56" s="14"/>
    </row>
    <row r="57" spans="1:5" x14ac:dyDescent="0.3">
      <c r="B57" s="14"/>
    </row>
    <row r="58" spans="1:5" x14ac:dyDescent="0.3">
      <c r="B58" s="14"/>
    </row>
    <row r="59" spans="1:5" x14ac:dyDescent="0.3">
      <c r="B59" s="14"/>
    </row>
    <row r="60" spans="1:5" x14ac:dyDescent="0.3">
      <c r="B60" s="14"/>
    </row>
    <row r="61" spans="1:5" x14ac:dyDescent="0.3">
      <c r="B61" s="14"/>
    </row>
    <row r="62" spans="1:5" x14ac:dyDescent="0.3">
      <c r="B62" s="14"/>
    </row>
    <row r="63" spans="1:5" x14ac:dyDescent="0.3">
      <c r="B63" s="14"/>
    </row>
    <row r="64" spans="1:5" x14ac:dyDescent="0.3">
      <c r="B64" s="14"/>
    </row>
    <row r="65" spans="2:2" x14ac:dyDescent="0.3">
      <c r="B65" s="14"/>
    </row>
    <row r="66" spans="2:2" x14ac:dyDescent="0.3">
      <c r="B66" s="14"/>
    </row>
    <row r="67" spans="2:2" x14ac:dyDescent="0.3">
      <c r="B67" s="14"/>
    </row>
    <row r="68" spans="2:2" x14ac:dyDescent="0.3">
      <c r="B68" s="14"/>
    </row>
    <row r="69" spans="2:2" x14ac:dyDescent="0.3">
      <c r="B69" s="14"/>
    </row>
    <row r="70" spans="2:2" x14ac:dyDescent="0.3">
      <c r="B70" s="14"/>
    </row>
    <row r="71" spans="2:2" x14ac:dyDescent="0.3">
      <c r="B71" s="14"/>
    </row>
    <row r="72" spans="2:2" x14ac:dyDescent="0.3">
      <c r="B72" s="14"/>
    </row>
    <row r="73" spans="2:2" x14ac:dyDescent="0.3">
      <c r="B73" s="14"/>
    </row>
    <row r="74" spans="2:2" x14ac:dyDescent="0.3">
      <c r="B74" s="14"/>
    </row>
    <row r="75" spans="2:2" x14ac:dyDescent="0.3">
      <c r="B75" s="14"/>
    </row>
    <row r="76" spans="2:2" x14ac:dyDescent="0.3">
      <c r="B76" s="14"/>
    </row>
    <row r="77" spans="2:2" x14ac:dyDescent="0.3">
      <c r="B77" s="14"/>
    </row>
    <row r="78" spans="2:2" x14ac:dyDescent="0.3">
      <c r="B78" s="14"/>
    </row>
    <row r="79" spans="2:2" x14ac:dyDescent="0.3">
      <c r="B79" s="14"/>
    </row>
    <row r="80" spans="2:2" x14ac:dyDescent="0.3">
      <c r="B80" s="14"/>
    </row>
    <row r="81" spans="2:2" x14ac:dyDescent="0.3">
      <c r="B81" s="14"/>
    </row>
    <row r="82" spans="2:2" x14ac:dyDescent="0.3">
      <c r="B82" s="14"/>
    </row>
    <row r="83" spans="2:2" x14ac:dyDescent="0.3">
      <c r="B83" s="14"/>
    </row>
    <row r="84" spans="2:2" x14ac:dyDescent="0.3">
      <c r="B84" s="14"/>
    </row>
    <row r="85" spans="2:2" x14ac:dyDescent="0.3">
      <c r="B85" s="14"/>
    </row>
    <row r="86" spans="2:2" x14ac:dyDescent="0.3">
      <c r="B86" s="14"/>
    </row>
    <row r="87" spans="2:2" x14ac:dyDescent="0.3">
      <c r="B87" s="14"/>
    </row>
    <row r="88" spans="2:2" x14ac:dyDescent="0.3">
      <c r="B88" s="14"/>
    </row>
  </sheetData>
  <dataValidations count="1">
    <dataValidation type="list" allowBlank="1" showInputMessage="1" showErrorMessage="1" sqref="A2:A49" xr:uid="{E3FC55A3-3B73-4159-AD0A-A3984D0678B8}">
      <formula1>"""use"",""not use"""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45D5-90A8-4398-A207-5A8834097C8C}">
  <dimension ref="A1:F86"/>
  <sheetViews>
    <sheetView zoomScaleNormal="100" workbookViewId="0">
      <selection activeCell="A7" sqref="A7"/>
    </sheetView>
  </sheetViews>
  <sheetFormatPr defaultColWidth="8" defaultRowHeight="11.25" x14ac:dyDescent="0.3"/>
  <cols>
    <col min="1" max="1" width="8" style="9"/>
    <col min="2" max="2" width="30.625" style="9" customWidth="1"/>
    <col min="3" max="3" width="8" style="9"/>
    <col min="4" max="4" width="10" style="9" customWidth="1"/>
    <col min="5" max="5" width="10.875" style="9" customWidth="1"/>
    <col min="6" max="6" width="27.875" style="9" customWidth="1"/>
    <col min="7" max="16384" width="8" style="9"/>
  </cols>
  <sheetData>
    <row r="1" spans="1:6" ht="12.75" x14ac:dyDescent="0.3">
      <c r="A1" s="11" t="s">
        <v>473</v>
      </c>
      <c r="B1" s="11" t="s">
        <v>97</v>
      </c>
      <c r="C1" s="11" t="s">
        <v>467</v>
      </c>
      <c r="D1" s="11" t="s">
        <v>469</v>
      </c>
      <c r="E1" s="11" t="s">
        <v>468</v>
      </c>
      <c r="F1" s="12" t="s">
        <v>18</v>
      </c>
    </row>
    <row r="2" spans="1:6" x14ac:dyDescent="0.3">
      <c r="A2" s="13" t="s">
        <v>472</v>
      </c>
      <c r="B2" s="14" t="s">
        <v>474</v>
      </c>
      <c r="C2" s="13">
        <v>1E-3</v>
      </c>
      <c r="D2" s="13">
        <v>32080</v>
      </c>
      <c r="E2" s="13" t="s">
        <v>406</v>
      </c>
    </row>
    <row r="3" spans="1:6" x14ac:dyDescent="0.3">
      <c r="A3" s="13" t="s">
        <v>471</v>
      </c>
      <c r="B3" s="14" t="s">
        <v>475</v>
      </c>
      <c r="C3" s="13">
        <v>1</v>
      </c>
      <c r="D3" s="13">
        <v>40196</v>
      </c>
      <c r="E3" s="13" t="s">
        <v>395</v>
      </c>
    </row>
    <row r="4" spans="1:6" x14ac:dyDescent="0.3">
      <c r="A4" s="13" t="s">
        <v>471</v>
      </c>
      <c r="B4" s="14" t="s">
        <v>476</v>
      </c>
      <c r="C4" s="13">
        <v>0.1</v>
      </c>
      <c r="D4" s="13">
        <v>32087</v>
      </c>
      <c r="E4" s="13" t="s">
        <v>395</v>
      </c>
    </row>
    <row r="5" spans="1:6" x14ac:dyDescent="0.3">
      <c r="A5" s="13" t="s">
        <v>471</v>
      </c>
      <c r="B5" s="14" t="s">
        <v>477</v>
      </c>
      <c r="C5" s="13">
        <v>1</v>
      </c>
      <c r="D5" s="13">
        <v>32002</v>
      </c>
      <c r="E5" s="13" t="s">
        <v>395</v>
      </c>
    </row>
    <row r="6" spans="1:6" ht="202.5" x14ac:dyDescent="0.3">
      <c r="A6" s="13" t="s">
        <v>472</v>
      </c>
      <c r="B6" s="14" t="s">
        <v>478</v>
      </c>
      <c r="C6" s="13">
        <v>1</v>
      </c>
      <c r="D6" s="13">
        <v>32089</v>
      </c>
      <c r="E6" s="13" t="s">
        <v>395</v>
      </c>
      <c r="F6" s="10" t="s">
        <v>546</v>
      </c>
    </row>
    <row r="7" spans="1:6" x14ac:dyDescent="0.3">
      <c r="A7" s="13" t="s">
        <v>472</v>
      </c>
      <c r="B7" s="14" t="s">
        <v>479</v>
      </c>
      <c r="C7" s="13">
        <v>0.01</v>
      </c>
      <c r="D7" s="13">
        <v>32114</v>
      </c>
      <c r="E7" s="13" t="s">
        <v>480</v>
      </c>
    </row>
    <row r="8" spans="1:6" x14ac:dyDescent="0.3">
      <c r="A8" s="13" t="s">
        <v>471</v>
      </c>
      <c r="B8" s="14" t="s">
        <v>481</v>
      </c>
      <c r="C8" s="13">
        <v>0.01</v>
      </c>
      <c r="D8" s="13">
        <v>32085</v>
      </c>
      <c r="E8" s="13" t="s">
        <v>395</v>
      </c>
    </row>
    <row r="9" spans="1:6" x14ac:dyDescent="0.3">
      <c r="A9" s="13" t="s">
        <v>471</v>
      </c>
      <c r="B9" s="14" t="s">
        <v>482</v>
      </c>
      <c r="C9" s="13">
        <v>1E-3</v>
      </c>
      <c r="D9" s="13">
        <v>32064</v>
      </c>
      <c r="E9" s="13" t="s">
        <v>406</v>
      </c>
    </row>
    <row r="10" spans="1:6" x14ac:dyDescent="0.3">
      <c r="A10" s="13" t="s">
        <v>471</v>
      </c>
      <c r="B10" s="14" t="s">
        <v>483</v>
      </c>
      <c r="C10" s="13">
        <v>1</v>
      </c>
      <c r="D10" s="13">
        <v>40699</v>
      </c>
      <c r="E10" s="13" t="s">
        <v>395</v>
      </c>
    </row>
    <row r="11" spans="1:6" x14ac:dyDescent="0.3">
      <c r="A11" s="13" t="s">
        <v>471</v>
      </c>
      <c r="B11" s="14" t="s">
        <v>484</v>
      </c>
      <c r="C11" s="13">
        <v>1E-3</v>
      </c>
      <c r="D11" s="13">
        <v>32072</v>
      </c>
      <c r="E11" s="13" t="s">
        <v>406</v>
      </c>
    </row>
    <row r="12" spans="1:6" x14ac:dyDescent="0.3">
      <c r="A12" s="13" t="s">
        <v>471</v>
      </c>
      <c r="B12" s="14" t="s">
        <v>485</v>
      </c>
      <c r="C12" s="13">
        <v>0.1</v>
      </c>
      <c r="D12" s="13">
        <v>32069</v>
      </c>
      <c r="E12" s="13" t="s">
        <v>395</v>
      </c>
    </row>
    <row r="13" spans="1:6" x14ac:dyDescent="0.3">
      <c r="A13" s="13" t="s">
        <v>471</v>
      </c>
      <c r="B13" s="14" t="s">
        <v>486</v>
      </c>
      <c r="C13" s="13">
        <v>1E-3</v>
      </c>
      <c r="D13" s="13">
        <v>32074</v>
      </c>
      <c r="E13" s="13" t="s">
        <v>406</v>
      </c>
    </row>
    <row r="14" spans="1:6" x14ac:dyDescent="0.3">
      <c r="A14" s="13" t="s">
        <v>471</v>
      </c>
      <c r="B14" s="14" t="s">
        <v>487</v>
      </c>
      <c r="C14" s="13">
        <v>0.1</v>
      </c>
      <c r="D14" s="13">
        <v>32070</v>
      </c>
      <c r="E14" s="13" t="s">
        <v>395</v>
      </c>
    </row>
    <row r="15" spans="1:6" x14ac:dyDescent="0.3">
      <c r="A15" s="13" t="s">
        <v>471</v>
      </c>
      <c r="B15" s="14" t="s">
        <v>488</v>
      </c>
      <c r="C15" s="13">
        <v>1E-3</v>
      </c>
      <c r="D15" s="13">
        <v>32076</v>
      </c>
      <c r="E15" s="13" t="s">
        <v>406</v>
      </c>
    </row>
    <row r="16" spans="1:6" x14ac:dyDescent="0.3">
      <c r="A16" s="13" t="s">
        <v>471</v>
      </c>
      <c r="B16" s="14" t="s">
        <v>489</v>
      </c>
      <c r="C16" s="13">
        <v>0.1</v>
      </c>
      <c r="D16" s="13">
        <v>32071</v>
      </c>
      <c r="E16" s="13" t="s">
        <v>395</v>
      </c>
    </row>
    <row r="17" spans="1:5" x14ac:dyDescent="0.3">
      <c r="A17" s="13" t="s">
        <v>471</v>
      </c>
      <c r="B17" s="14" t="s">
        <v>490</v>
      </c>
      <c r="C17" s="13">
        <v>1E-3</v>
      </c>
      <c r="D17" s="13">
        <v>32084</v>
      </c>
      <c r="E17" s="13" t="s">
        <v>395</v>
      </c>
    </row>
    <row r="18" spans="1:5" x14ac:dyDescent="0.3">
      <c r="A18" s="13" t="s">
        <v>471</v>
      </c>
      <c r="B18" s="14" t="s">
        <v>491</v>
      </c>
      <c r="C18" s="13">
        <v>0.1</v>
      </c>
      <c r="D18" s="13">
        <v>32016</v>
      </c>
      <c r="E18" s="13" t="s">
        <v>395</v>
      </c>
    </row>
    <row r="19" spans="1:5" x14ac:dyDescent="0.3">
      <c r="A19" s="13" t="s">
        <v>471</v>
      </c>
      <c r="B19" s="14" t="s">
        <v>492</v>
      </c>
      <c r="C19" s="13">
        <v>0.01</v>
      </c>
      <c r="D19" s="13">
        <v>32017</v>
      </c>
      <c r="E19" s="13" t="s">
        <v>395</v>
      </c>
    </row>
    <row r="20" spans="1:5" x14ac:dyDescent="0.3">
      <c r="A20" s="13" t="s">
        <v>471</v>
      </c>
      <c r="B20" s="14" t="s">
        <v>493</v>
      </c>
      <c r="C20" s="13">
        <v>0.1</v>
      </c>
      <c r="D20" s="13">
        <v>32018</v>
      </c>
      <c r="E20" s="13" t="s">
        <v>395</v>
      </c>
    </row>
    <row r="21" spans="1:5" x14ac:dyDescent="0.3">
      <c r="A21" s="13" t="s">
        <v>471</v>
      </c>
      <c r="B21" s="14" t="s">
        <v>494</v>
      </c>
      <c r="C21" s="13">
        <v>0.01</v>
      </c>
      <c r="D21" s="13">
        <v>32019</v>
      </c>
      <c r="E21" s="13" t="s">
        <v>395</v>
      </c>
    </row>
    <row r="22" spans="1:5" x14ac:dyDescent="0.3">
      <c r="A22" s="13" t="s">
        <v>471</v>
      </c>
      <c r="B22" s="14" t="s">
        <v>495</v>
      </c>
      <c r="C22" s="13">
        <v>0.1</v>
      </c>
      <c r="D22" s="13">
        <v>32020</v>
      </c>
      <c r="E22" s="13" t="s">
        <v>395</v>
      </c>
    </row>
    <row r="23" spans="1:5" x14ac:dyDescent="0.3">
      <c r="A23" s="13" t="s">
        <v>471</v>
      </c>
      <c r="B23" s="14" t="s">
        <v>496</v>
      </c>
      <c r="C23" s="13">
        <v>0.01</v>
      </c>
      <c r="D23" s="13">
        <v>32021</v>
      </c>
      <c r="E23" s="13" t="s">
        <v>395</v>
      </c>
    </row>
    <row r="24" spans="1:5" x14ac:dyDescent="0.3">
      <c r="A24" s="13" t="s">
        <v>471</v>
      </c>
      <c r="B24" s="14" t="s">
        <v>497</v>
      </c>
      <c r="C24" s="13">
        <v>0.1</v>
      </c>
      <c r="D24" s="13">
        <v>32022</v>
      </c>
      <c r="E24" s="13" t="s">
        <v>395</v>
      </c>
    </row>
    <row r="25" spans="1:5" x14ac:dyDescent="0.3">
      <c r="A25" s="13" t="s">
        <v>471</v>
      </c>
      <c r="B25" s="14" t="s">
        <v>498</v>
      </c>
      <c r="C25" s="13">
        <v>0.01</v>
      </c>
      <c r="D25" s="13">
        <v>32023</v>
      </c>
      <c r="E25" s="13" t="s">
        <v>395</v>
      </c>
    </row>
    <row r="26" spans="1:5" x14ac:dyDescent="0.3">
      <c r="A26" s="13" t="s">
        <v>471</v>
      </c>
      <c r="B26" s="14" t="s">
        <v>499</v>
      </c>
      <c r="C26" s="13">
        <v>0.1</v>
      </c>
      <c r="D26" s="13">
        <v>32024</v>
      </c>
      <c r="E26" s="13" t="s">
        <v>395</v>
      </c>
    </row>
    <row r="27" spans="1:5" x14ac:dyDescent="0.3">
      <c r="A27" s="13" t="s">
        <v>471</v>
      </c>
      <c r="B27" s="14" t="s">
        <v>500</v>
      </c>
      <c r="C27" s="13">
        <v>0.01</v>
      </c>
      <c r="D27" s="13">
        <v>32025</v>
      </c>
      <c r="E27" s="13" t="s">
        <v>395</v>
      </c>
    </row>
    <row r="28" spans="1:5" x14ac:dyDescent="0.3">
      <c r="A28" s="13" t="s">
        <v>471</v>
      </c>
      <c r="B28" s="14" t="s">
        <v>501</v>
      </c>
      <c r="C28" s="13">
        <v>0.1</v>
      </c>
      <c r="D28" s="13">
        <v>32026</v>
      </c>
      <c r="E28" s="13" t="s">
        <v>395</v>
      </c>
    </row>
    <row r="29" spans="1:5" x14ac:dyDescent="0.3">
      <c r="A29" s="13" t="s">
        <v>471</v>
      </c>
      <c r="B29" s="14" t="s">
        <v>502</v>
      </c>
      <c r="C29" s="13">
        <v>0.01</v>
      </c>
      <c r="D29" s="13">
        <v>32027</v>
      </c>
      <c r="E29" s="13" t="s">
        <v>395</v>
      </c>
    </row>
    <row r="30" spans="1:5" x14ac:dyDescent="0.3">
      <c r="A30" s="13" t="s">
        <v>471</v>
      </c>
      <c r="B30" s="14" t="s">
        <v>503</v>
      </c>
      <c r="C30" s="13">
        <v>0.1</v>
      </c>
      <c r="D30" s="13">
        <v>32028</v>
      </c>
      <c r="E30" s="13" t="s">
        <v>395</v>
      </c>
    </row>
    <row r="31" spans="1:5" x14ac:dyDescent="0.3">
      <c r="A31" s="13" t="s">
        <v>471</v>
      </c>
      <c r="B31" s="14" t="s">
        <v>504</v>
      </c>
      <c r="C31" s="13">
        <v>0.01</v>
      </c>
      <c r="D31" s="13">
        <v>32029</v>
      </c>
      <c r="E31" s="13" t="s">
        <v>395</v>
      </c>
    </row>
    <row r="32" spans="1:5" x14ac:dyDescent="0.3">
      <c r="A32" s="13" t="s">
        <v>471</v>
      </c>
      <c r="B32" s="14" t="s">
        <v>505</v>
      </c>
      <c r="C32" s="13">
        <v>0.1</v>
      </c>
      <c r="D32" s="13">
        <v>32030</v>
      </c>
      <c r="E32" s="13" t="s">
        <v>395</v>
      </c>
    </row>
    <row r="33" spans="1:6" x14ac:dyDescent="0.3">
      <c r="A33" s="13" t="s">
        <v>471</v>
      </c>
      <c r="B33" s="14" t="s">
        <v>506</v>
      </c>
      <c r="C33" s="13">
        <v>0.01</v>
      </c>
      <c r="D33" s="13">
        <v>32031</v>
      </c>
      <c r="E33" s="13" t="s">
        <v>395</v>
      </c>
    </row>
    <row r="34" spans="1:6" x14ac:dyDescent="0.3">
      <c r="A34" s="13" t="s">
        <v>471</v>
      </c>
      <c r="B34" s="14" t="s">
        <v>507</v>
      </c>
      <c r="C34" s="13">
        <v>0.1</v>
      </c>
      <c r="D34" s="13">
        <v>32032</v>
      </c>
      <c r="E34" s="13" t="s">
        <v>395</v>
      </c>
    </row>
    <row r="35" spans="1:6" x14ac:dyDescent="0.3">
      <c r="A35" s="13" t="s">
        <v>471</v>
      </c>
      <c r="B35" s="14" t="s">
        <v>508</v>
      </c>
      <c r="C35" s="13">
        <v>0.01</v>
      </c>
      <c r="D35" s="13">
        <v>32033</v>
      </c>
      <c r="E35" s="13" t="s">
        <v>395</v>
      </c>
    </row>
    <row r="36" spans="1:6" x14ac:dyDescent="0.3">
      <c r="A36" s="13" t="s">
        <v>471</v>
      </c>
      <c r="B36" s="14" t="s">
        <v>509</v>
      </c>
      <c r="C36" s="13">
        <v>0.1</v>
      </c>
      <c r="D36" s="13">
        <v>32034</v>
      </c>
      <c r="E36" s="13" t="s">
        <v>395</v>
      </c>
    </row>
    <row r="37" spans="1:6" x14ac:dyDescent="0.3">
      <c r="A37" s="13" t="s">
        <v>471</v>
      </c>
      <c r="B37" s="14" t="s">
        <v>510</v>
      </c>
      <c r="C37" s="13">
        <v>0.01</v>
      </c>
      <c r="D37" s="13">
        <v>32035</v>
      </c>
      <c r="E37" s="13" t="s">
        <v>395</v>
      </c>
      <c r="F37" s="10"/>
    </row>
    <row r="38" spans="1:6" x14ac:dyDescent="0.3">
      <c r="A38" s="13" t="s">
        <v>471</v>
      </c>
      <c r="B38" s="14" t="s">
        <v>511</v>
      </c>
      <c r="C38" s="13">
        <v>0.1</v>
      </c>
      <c r="D38" s="13">
        <v>32036</v>
      </c>
      <c r="E38" s="13" t="s">
        <v>395</v>
      </c>
    </row>
    <row r="39" spans="1:6" x14ac:dyDescent="0.3">
      <c r="A39" s="13" t="s">
        <v>471</v>
      </c>
      <c r="B39" s="14" t="s">
        <v>512</v>
      </c>
      <c r="C39" s="13">
        <v>0.01</v>
      </c>
      <c r="D39" s="13">
        <v>32037</v>
      </c>
      <c r="E39" s="13" t="s">
        <v>395</v>
      </c>
    </row>
    <row r="40" spans="1:6" x14ac:dyDescent="0.3">
      <c r="A40" s="13" t="s">
        <v>471</v>
      </c>
      <c r="B40" s="14" t="s">
        <v>513</v>
      </c>
      <c r="C40" s="13">
        <v>0.1</v>
      </c>
      <c r="D40" s="13">
        <v>32038</v>
      </c>
      <c r="E40" s="13" t="s">
        <v>395</v>
      </c>
    </row>
    <row r="41" spans="1:6" x14ac:dyDescent="0.3">
      <c r="A41" s="13" t="s">
        <v>471</v>
      </c>
      <c r="B41" s="14" t="s">
        <v>514</v>
      </c>
      <c r="C41" s="13">
        <v>0.01</v>
      </c>
      <c r="D41" s="13">
        <v>32039</v>
      </c>
      <c r="E41" s="13" t="s">
        <v>395</v>
      </c>
    </row>
    <row r="42" spans="1:6" x14ac:dyDescent="0.3">
      <c r="A42" s="13" t="s">
        <v>471</v>
      </c>
      <c r="B42" s="14" t="s">
        <v>515</v>
      </c>
      <c r="C42" s="13">
        <v>0.1</v>
      </c>
      <c r="D42" s="13">
        <v>32040</v>
      </c>
      <c r="E42" s="13" t="s">
        <v>395</v>
      </c>
    </row>
    <row r="43" spans="1:6" x14ac:dyDescent="0.3">
      <c r="A43" s="13" t="s">
        <v>471</v>
      </c>
      <c r="B43" s="14" t="s">
        <v>516</v>
      </c>
      <c r="C43" s="13">
        <v>0.01</v>
      </c>
      <c r="D43" s="13">
        <v>32041</v>
      </c>
      <c r="E43" s="13" t="s">
        <v>395</v>
      </c>
    </row>
    <row r="44" spans="1:6" x14ac:dyDescent="0.3">
      <c r="A44" s="13" t="s">
        <v>471</v>
      </c>
      <c r="B44" s="14" t="s">
        <v>517</v>
      </c>
      <c r="C44" s="13">
        <v>0.1</v>
      </c>
      <c r="D44" s="13">
        <v>32042</v>
      </c>
      <c r="E44" s="13" t="s">
        <v>395</v>
      </c>
    </row>
    <row r="45" spans="1:6" x14ac:dyDescent="0.3">
      <c r="A45" s="13" t="s">
        <v>471</v>
      </c>
      <c r="B45" s="14" t="s">
        <v>518</v>
      </c>
      <c r="C45" s="13">
        <v>0.01</v>
      </c>
      <c r="D45" s="13">
        <v>32043</v>
      </c>
      <c r="E45" s="13" t="s">
        <v>395</v>
      </c>
    </row>
    <row r="46" spans="1:6" x14ac:dyDescent="0.3">
      <c r="A46" s="13" t="s">
        <v>471</v>
      </c>
      <c r="B46" s="14" t="s">
        <v>519</v>
      </c>
      <c r="C46" s="13">
        <v>0.1</v>
      </c>
      <c r="D46" s="13">
        <v>32044</v>
      </c>
      <c r="E46" s="13" t="s">
        <v>395</v>
      </c>
    </row>
    <row r="47" spans="1:6" x14ac:dyDescent="0.3">
      <c r="A47" s="13" t="s">
        <v>471</v>
      </c>
      <c r="B47" s="14" t="s">
        <v>520</v>
      </c>
      <c r="C47" s="13">
        <v>0.01</v>
      </c>
      <c r="D47" s="13">
        <v>32045</v>
      </c>
      <c r="E47" s="13" t="s">
        <v>395</v>
      </c>
    </row>
    <row r="48" spans="1:6" x14ac:dyDescent="0.3">
      <c r="A48" s="13" t="s">
        <v>471</v>
      </c>
      <c r="B48" s="14" t="s">
        <v>521</v>
      </c>
      <c r="C48" s="13">
        <v>0.1</v>
      </c>
      <c r="D48" s="13">
        <v>32046</v>
      </c>
      <c r="E48" s="13" t="s">
        <v>395</v>
      </c>
    </row>
    <row r="49" spans="1:5" x14ac:dyDescent="0.3">
      <c r="A49" s="13" t="s">
        <v>471</v>
      </c>
      <c r="B49" s="14" t="s">
        <v>522</v>
      </c>
      <c r="C49" s="13">
        <v>0.01</v>
      </c>
      <c r="D49" s="13">
        <v>32047</v>
      </c>
      <c r="E49" s="13" t="s">
        <v>395</v>
      </c>
    </row>
    <row r="50" spans="1:5" x14ac:dyDescent="0.3">
      <c r="A50" s="13" t="s">
        <v>471</v>
      </c>
      <c r="B50" s="14" t="s">
        <v>523</v>
      </c>
      <c r="C50" s="13">
        <v>0.1</v>
      </c>
      <c r="D50" s="13">
        <v>32048</v>
      </c>
      <c r="E50" s="13" t="s">
        <v>395</v>
      </c>
    </row>
    <row r="51" spans="1:5" x14ac:dyDescent="0.3">
      <c r="A51" s="13" t="s">
        <v>471</v>
      </c>
      <c r="B51" s="14" t="s">
        <v>524</v>
      </c>
      <c r="C51" s="13">
        <v>0.01</v>
      </c>
      <c r="D51" s="13">
        <v>32049</v>
      </c>
      <c r="E51" s="13" t="s">
        <v>395</v>
      </c>
    </row>
    <row r="52" spans="1:5" x14ac:dyDescent="0.3">
      <c r="A52" s="13" t="s">
        <v>471</v>
      </c>
      <c r="B52" s="14" t="s">
        <v>525</v>
      </c>
      <c r="C52" s="13">
        <v>0.1</v>
      </c>
      <c r="D52" s="13">
        <v>32050</v>
      </c>
      <c r="E52" s="13" t="s">
        <v>395</v>
      </c>
    </row>
    <row r="53" spans="1:5" x14ac:dyDescent="0.3">
      <c r="A53" s="13" t="s">
        <v>471</v>
      </c>
      <c r="B53" s="14" t="s">
        <v>526</v>
      </c>
      <c r="C53" s="13">
        <v>0.01</v>
      </c>
      <c r="D53" s="13">
        <v>32051</v>
      </c>
      <c r="E53" s="13" t="s">
        <v>395</v>
      </c>
    </row>
    <row r="54" spans="1:5" x14ac:dyDescent="0.3">
      <c r="A54" s="13" t="s">
        <v>471</v>
      </c>
      <c r="B54" s="14" t="s">
        <v>527</v>
      </c>
      <c r="C54" s="13">
        <v>0.1</v>
      </c>
      <c r="D54" s="13">
        <v>32052</v>
      </c>
      <c r="E54" s="13" t="s">
        <v>395</v>
      </c>
    </row>
    <row r="55" spans="1:5" x14ac:dyDescent="0.3">
      <c r="A55" s="13" t="s">
        <v>471</v>
      </c>
      <c r="B55" s="14" t="s">
        <v>528</v>
      </c>
      <c r="C55" s="13">
        <v>0.01</v>
      </c>
      <c r="D55" s="13">
        <v>32053</v>
      </c>
      <c r="E55" s="13" t="s">
        <v>395</v>
      </c>
    </row>
    <row r="56" spans="1:5" x14ac:dyDescent="0.3">
      <c r="A56" s="13" t="s">
        <v>471</v>
      </c>
      <c r="B56" s="14" t="s">
        <v>529</v>
      </c>
      <c r="C56" s="13">
        <v>0.1</v>
      </c>
      <c r="D56" s="13">
        <v>32054</v>
      </c>
      <c r="E56" s="13" t="s">
        <v>395</v>
      </c>
    </row>
    <row r="57" spans="1:5" x14ac:dyDescent="0.3">
      <c r="A57" s="13" t="s">
        <v>471</v>
      </c>
      <c r="B57" s="14" t="s">
        <v>530</v>
      </c>
      <c r="C57" s="13">
        <v>0.01</v>
      </c>
      <c r="D57" s="13">
        <v>32055</v>
      </c>
      <c r="E57" s="13" t="s">
        <v>395</v>
      </c>
    </row>
    <row r="58" spans="1:5" x14ac:dyDescent="0.3">
      <c r="A58" s="13" t="s">
        <v>471</v>
      </c>
      <c r="B58" s="14" t="s">
        <v>531</v>
      </c>
      <c r="C58" s="13">
        <v>1E-3</v>
      </c>
      <c r="D58" s="13">
        <v>30073</v>
      </c>
      <c r="E58" s="13" t="s">
        <v>395</v>
      </c>
    </row>
    <row r="59" spans="1:5" x14ac:dyDescent="0.3">
      <c r="A59" s="13" t="s">
        <v>471</v>
      </c>
      <c r="B59" s="14" t="s">
        <v>532</v>
      </c>
      <c r="C59" s="13">
        <v>1E-3</v>
      </c>
      <c r="D59" s="13">
        <v>32082</v>
      </c>
      <c r="E59" s="13" t="s">
        <v>406</v>
      </c>
    </row>
    <row r="60" spans="1:5" x14ac:dyDescent="0.3">
      <c r="A60" s="13" t="s">
        <v>471</v>
      </c>
      <c r="B60" s="14" t="s">
        <v>533</v>
      </c>
      <c r="C60" s="13">
        <v>1</v>
      </c>
      <c r="D60" s="13">
        <v>40196</v>
      </c>
      <c r="E60" s="13" t="s">
        <v>395</v>
      </c>
    </row>
    <row r="61" spans="1:5" x14ac:dyDescent="0.3">
      <c r="A61" s="13" t="s">
        <v>471</v>
      </c>
      <c r="B61" s="14" t="s">
        <v>534</v>
      </c>
      <c r="C61" s="13">
        <v>0.1</v>
      </c>
      <c r="D61" s="13">
        <v>43524</v>
      </c>
      <c r="E61" s="13" t="s">
        <v>395</v>
      </c>
    </row>
    <row r="62" spans="1:5" x14ac:dyDescent="0.3">
      <c r="A62" s="13" t="s">
        <v>471</v>
      </c>
      <c r="B62" s="14" t="s">
        <v>535</v>
      </c>
      <c r="C62" s="13">
        <v>1</v>
      </c>
      <c r="D62" s="13">
        <v>32093</v>
      </c>
      <c r="E62" s="13" t="s">
        <v>382</v>
      </c>
    </row>
    <row r="63" spans="1:5" x14ac:dyDescent="0.3">
      <c r="A63" s="13" t="s">
        <v>471</v>
      </c>
      <c r="B63" s="14" t="s">
        <v>536</v>
      </c>
      <c r="C63" s="13">
        <v>1</v>
      </c>
      <c r="D63" s="13">
        <v>32091</v>
      </c>
      <c r="E63" s="13" t="s">
        <v>382</v>
      </c>
    </row>
    <row r="64" spans="1:5" x14ac:dyDescent="0.3">
      <c r="A64" s="13" t="s">
        <v>471</v>
      </c>
      <c r="B64" s="14" t="s">
        <v>537</v>
      </c>
      <c r="C64" s="13">
        <v>0.01</v>
      </c>
      <c r="D64" s="13">
        <v>32106</v>
      </c>
      <c r="E64" s="13" t="s">
        <v>480</v>
      </c>
    </row>
    <row r="65" spans="1:5" x14ac:dyDescent="0.3">
      <c r="A65" s="13" t="s">
        <v>471</v>
      </c>
      <c r="B65" s="14" t="s">
        <v>538</v>
      </c>
      <c r="C65" s="13">
        <v>0.1</v>
      </c>
      <c r="D65" s="13">
        <v>32066</v>
      </c>
      <c r="E65" s="13" t="s">
        <v>395</v>
      </c>
    </row>
    <row r="66" spans="1:5" x14ac:dyDescent="0.3">
      <c r="A66" s="13" t="s">
        <v>471</v>
      </c>
      <c r="B66" s="14" t="s">
        <v>539</v>
      </c>
      <c r="C66" s="13">
        <v>0.1</v>
      </c>
      <c r="D66" s="13">
        <v>32067</v>
      </c>
      <c r="E66" s="13" t="s">
        <v>395</v>
      </c>
    </row>
    <row r="67" spans="1:5" x14ac:dyDescent="0.3">
      <c r="A67" s="13" t="s">
        <v>471</v>
      </c>
      <c r="B67" s="14" t="s">
        <v>540</v>
      </c>
      <c r="C67" s="13">
        <v>0.1</v>
      </c>
      <c r="D67" s="13">
        <v>32068</v>
      </c>
      <c r="E67" s="13" t="s">
        <v>395</v>
      </c>
    </row>
    <row r="68" spans="1:5" x14ac:dyDescent="0.3">
      <c r="A68" s="13" t="s">
        <v>471</v>
      </c>
      <c r="B68" s="14" t="s">
        <v>541</v>
      </c>
      <c r="C68" s="13">
        <v>1E-4</v>
      </c>
      <c r="D68" s="13">
        <v>32086</v>
      </c>
      <c r="E68" s="13" t="s">
        <v>395</v>
      </c>
    </row>
    <row r="69" spans="1:5" x14ac:dyDescent="0.3">
      <c r="A69" s="13" t="s">
        <v>471</v>
      </c>
      <c r="B69" s="14" t="s">
        <v>542</v>
      </c>
      <c r="C69" s="13">
        <v>1</v>
      </c>
      <c r="D69" s="13">
        <v>32008</v>
      </c>
      <c r="E69" s="13" t="s">
        <v>395</v>
      </c>
    </row>
    <row r="70" spans="1:5" x14ac:dyDescent="0.3">
      <c r="A70" s="13" t="s">
        <v>471</v>
      </c>
      <c r="B70" s="14" t="s">
        <v>543</v>
      </c>
      <c r="C70" s="13">
        <v>1</v>
      </c>
      <c r="D70" s="13">
        <v>32009</v>
      </c>
      <c r="E70" s="13" t="s">
        <v>395</v>
      </c>
    </row>
    <row r="71" spans="1:5" x14ac:dyDescent="0.3">
      <c r="A71" s="13" t="s">
        <v>471</v>
      </c>
      <c r="B71" s="14" t="s">
        <v>544</v>
      </c>
      <c r="C71" s="13">
        <v>1</v>
      </c>
      <c r="D71" s="13">
        <v>32010</v>
      </c>
      <c r="E71" s="13" t="s">
        <v>395</v>
      </c>
    </row>
    <row r="72" spans="1:5" x14ac:dyDescent="0.3">
      <c r="A72" s="13" t="s">
        <v>472</v>
      </c>
      <c r="B72" s="14" t="s">
        <v>545</v>
      </c>
      <c r="C72" s="13">
        <v>0.1</v>
      </c>
      <c r="D72" s="13">
        <v>35302</v>
      </c>
      <c r="E72" s="13" t="s">
        <v>395</v>
      </c>
    </row>
    <row r="73" spans="1:5" x14ac:dyDescent="0.3">
      <c r="B73" s="14"/>
    </row>
    <row r="74" spans="1:5" x14ac:dyDescent="0.3">
      <c r="B74" s="14"/>
    </row>
    <row r="75" spans="1:5" x14ac:dyDescent="0.3">
      <c r="B75" s="14"/>
    </row>
    <row r="76" spans="1:5" x14ac:dyDescent="0.3">
      <c r="B76" s="14"/>
    </row>
    <row r="77" spans="1:5" x14ac:dyDescent="0.3">
      <c r="B77" s="14"/>
    </row>
    <row r="78" spans="1:5" x14ac:dyDescent="0.3">
      <c r="B78" s="14"/>
    </row>
    <row r="79" spans="1:5" x14ac:dyDescent="0.3">
      <c r="B79" s="14"/>
    </row>
    <row r="80" spans="1:5" x14ac:dyDescent="0.3">
      <c r="B80" s="14"/>
    </row>
    <row r="81" spans="2:2" x14ac:dyDescent="0.3">
      <c r="B81" s="14"/>
    </row>
    <row r="82" spans="2:2" x14ac:dyDescent="0.3">
      <c r="B82" s="14"/>
    </row>
    <row r="83" spans="2:2" x14ac:dyDescent="0.3">
      <c r="B83" s="14"/>
    </row>
    <row r="84" spans="2:2" x14ac:dyDescent="0.3">
      <c r="B84" s="14"/>
    </row>
    <row r="85" spans="2:2" x14ac:dyDescent="0.3">
      <c r="B85" s="14"/>
    </row>
    <row r="86" spans="2:2" x14ac:dyDescent="0.3">
      <c r="B86" s="14"/>
    </row>
  </sheetData>
  <dataValidations count="1">
    <dataValidation type="list" allowBlank="1" showInputMessage="1" showErrorMessage="1" sqref="A2:A72" xr:uid="{270F64D9-5D3C-467A-98E3-7D93055749CD}">
      <formula1>"""use"",""not use"""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6B8F-E5D9-4061-ADCD-9F31F95125B2}">
  <dimension ref="A1:F86"/>
  <sheetViews>
    <sheetView zoomScaleNormal="100" workbookViewId="0">
      <selection activeCell="F13" sqref="F13"/>
    </sheetView>
  </sheetViews>
  <sheetFormatPr defaultColWidth="8" defaultRowHeight="11.25" x14ac:dyDescent="0.3"/>
  <cols>
    <col min="1" max="1" width="8" style="9"/>
    <col min="2" max="2" width="30.625" style="9" customWidth="1"/>
    <col min="3" max="3" width="8" style="9"/>
    <col min="4" max="4" width="10" style="9" customWidth="1"/>
    <col min="5" max="5" width="10.875" style="9" customWidth="1"/>
    <col min="6" max="6" width="27.875" style="9" customWidth="1"/>
    <col min="7" max="16384" width="8" style="9"/>
  </cols>
  <sheetData>
    <row r="1" spans="1:6" ht="12.75" x14ac:dyDescent="0.3">
      <c r="A1" s="11" t="s">
        <v>473</v>
      </c>
      <c r="B1" s="11" t="s">
        <v>97</v>
      </c>
      <c r="C1" s="11" t="s">
        <v>467</v>
      </c>
      <c r="D1" s="11" t="s">
        <v>469</v>
      </c>
      <c r="E1" s="11" t="s">
        <v>468</v>
      </c>
      <c r="F1" s="12" t="s">
        <v>18</v>
      </c>
    </row>
    <row r="2" spans="1:6" x14ac:dyDescent="0.3">
      <c r="A2" s="13" t="s">
        <v>472</v>
      </c>
      <c r="B2" s="14" t="s">
        <v>547</v>
      </c>
      <c r="C2" s="13">
        <v>0.1</v>
      </c>
      <c r="D2" s="13">
        <v>40035</v>
      </c>
      <c r="E2" s="13" t="s">
        <v>395</v>
      </c>
    </row>
    <row r="3" spans="1:6" x14ac:dyDescent="0.3">
      <c r="A3" s="13" t="s">
        <v>472</v>
      </c>
      <c r="B3" s="14" t="s">
        <v>548</v>
      </c>
      <c r="C3" s="13">
        <v>0.1</v>
      </c>
      <c r="D3" s="13">
        <v>40043</v>
      </c>
      <c r="E3" s="13" t="s">
        <v>406</v>
      </c>
    </row>
    <row r="4" spans="1:6" x14ac:dyDescent="0.3">
      <c r="A4" s="13" t="s">
        <v>472</v>
      </c>
      <c r="B4" s="14" t="s">
        <v>549</v>
      </c>
      <c r="C4" s="13">
        <v>0.1</v>
      </c>
      <c r="D4" s="13">
        <v>40038</v>
      </c>
      <c r="E4" s="13" t="s">
        <v>395</v>
      </c>
    </row>
    <row r="5" spans="1:6" x14ac:dyDescent="0.3">
      <c r="A5" s="13" t="s">
        <v>472</v>
      </c>
      <c r="B5" s="14" t="s">
        <v>550</v>
      </c>
      <c r="C5" s="13">
        <v>1</v>
      </c>
      <c r="D5" s="13">
        <v>40045</v>
      </c>
      <c r="E5" s="13" t="s">
        <v>406</v>
      </c>
    </row>
    <row r="6" spans="1:6" x14ac:dyDescent="0.3">
      <c r="A6" s="13"/>
      <c r="B6" s="14"/>
      <c r="C6" s="13"/>
      <c r="D6" s="13"/>
      <c r="E6" s="13"/>
      <c r="F6" s="10"/>
    </row>
    <row r="7" spans="1:6" x14ac:dyDescent="0.3">
      <c r="A7" s="13"/>
      <c r="B7" s="14"/>
      <c r="C7" s="13"/>
      <c r="D7" s="13"/>
      <c r="E7" s="13"/>
    </row>
    <row r="8" spans="1:6" x14ac:dyDescent="0.3">
      <c r="A8" s="13"/>
      <c r="B8" s="14"/>
      <c r="C8" s="13"/>
      <c r="D8" s="13"/>
      <c r="E8" s="13"/>
    </row>
    <row r="9" spans="1:6" x14ac:dyDescent="0.3">
      <c r="A9" s="13"/>
      <c r="B9" s="14"/>
      <c r="C9" s="13"/>
      <c r="D9" s="13"/>
      <c r="E9" s="13"/>
    </row>
    <row r="10" spans="1:6" x14ac:dyDescent="0.3">
      <c r="A10" s="13"/>
      <c r="B10" s="14"/>
      <c r="C10" s="13"/>
      <c r="D10" s="13"/>
      <c r="E10" s="13"/>
    </row>
    <row r="11" spans="1:6" x14ac:dyDescent="0.3">
      <c r="A11" s="13"/>
      <c r="B11" s="14"/>
      <c r="C11" s="13"/>
      <c r="D11" s="13"/>
      <c r="E11" s="13"/>
    </row>
    <row r="12" spans="1:6" x14ac:dyDescent="0.3">
      <c r="A12" s="13"/>
      <c r="B12" s="14"/>
      <c r="C12" s="13"/>
      <c r="D12" s="13"/>
      <c r="E12" s="13"/>
    </row>
    <row r="13" spans="1:6" x14ac:dyDescent="0.3">
      <c r="A13" s="13"/>
      <c r="B13" s="14"/>
      <c r="C13" s="13"/>
      <c r="D13" s="13"/>
      <c r="E13" s="13"/>
    </row>
    <row r="14" spans="1:6" x14ac:dyDescent="0.3">
      <c r="A14" s="13"/>
      <c r="B14" s="14"/>
      <c r="C14" s="13"/>
      <c r="D14" s="13"/>
      <c r="E14" s="13"/>
    </row>
    <row r="15" spans="1:6" x14ac:dyDescent="0.3">
      <c r="A15" s="13"/>
      <c r="B15" s="14"/>
      <c r="C15" s="13"/>
      <c r="D15" s="13"/>
      <c r="E15" s="13"/>
    </row>
    <row r="16" spans="1:6" x14ac:dyDescent="0.3">
      <c r="A16" s="13"/>
      <c r="B16" s="14"/>
      <c r="C16" s="13"/>
      <c r="D16" s="13"/>
      <c r="E16" s="13"/>
    </row>
    <row r="17" spans="1:5" x14ac:dyDescent="0.3">
      <c r="A17" s="13"/>
      <c r="B17" s="14"/>
      <c r="C17" s="13"/>
      <c r="D17" s="13"/>
      <c r="E17" s="13"/>
    </row>
    <row r="18" spans="1:5" x14ac:dyDescent="0.3">
      <c r="A18" s="13"/>
      <c r="B18" s="14"/>
      <c r="C18" s="13"/>
      <c r="D18" s="13"/>
      <c r="E18" s="13"/>
    </row>
    <row r="19" spans="1:5" x14ac:dyDescent="0.3">
      <c r="A19" s="13"/>
      <c r="B19" s="14"/>
      <c r="C19" s="13"/>
      <c r="D19" s="13"/>
      <c r="E19" s="13"/>
    </row>
    <row r="20" spans="1:5" x14ac:dyDescent="0.3">
      <c r="A20" s="13"/>
      <c r="B20" s="14"/>
      <c r="C20" s="13"/>
      <c r="D20" s="13"/>
      <c r="E20" s="13"/>
    </row>
    <row r="21" spans="1:5" x14ac:dyDescent="0.3">
      <c r="A21" s="13"/>
      <c r="B21" s="14"/>
      <c r="C21" s="13"/>
      <c r="D21" s="13"/>
      <c r="E21" s="13"/>
    </row>
    <row r="22" spans="1:5" x14ac:dyDescent="0.3">
      <c r="A22" s="13"/>
      <c r="B22" s="14"/>
      <c r="C22" s="13"/>
      <c r="D22" s="13"/>
      <c r="E22" s="13"/>
    </row>
    <row r="23" spans="1:5" x14ac:dyDescent="0.3">
      <c r="A23" s="13"/>
      <c r="B23" s="14"/>
      <c r="C23" s="13"/>
      <c r="D23" s="13"/>
      <c r="E23" s="13"/>
    </row>
    <row r="24" spans="1:5" x14ac:dyDescent="0.3">
      <c r="A24" s="13"/>
      <c r="B24" s="14"/>
      <c r="C24" s="13"/>
      <c r="D24" s="13"/>
      <c r="E24" s="13"/>
    </row>
    <row r="25" spans="1:5" x14ac:dyDescent="0.3">
      <c r="A25" s="13"/>
      <c r="B25" s="14"/>
      <c r="C25" s="13"/>
      <c r="D25" s="13"/>
      <c r="E25" s="13"/>
    </row>
    <row r="26" spans="1:5" x14ac:dyDescent="0.3">
      <c r="A26" s="13"/>
      <c r="B26" s="14"/>
      <c r="C26" s="13"/>
      <c r="D26" s="13"/>
      <c r="E26" s="13"/>
    </row>
    <row r="27" spans="1:5" x14ac:dyDescent="0.3">
      <c r="A27" s="13"/>
      <c r="B27" s="14"/>
      <c r="C27" s="13"/>
      <c r="D27" s="13"/>
      <c r="E27" s="13"/>
    </row>
    <row r="28" spans="1:5" x14ac:dyDescent="0.3">
      <c r="A28" s="13"/>
      <c r="B28" s="14"/>
      <c r="C28" s="13"/>
      <c r="D28" s="13"/>
      <c r="E28" s="13"/>
    </row>
    <row r="29" spans="1:5" x14ac:dyDescent="0.3">
      <c r="A29" s="13"/>
      <c r="B29" s="14"/>
      <c r="C29" s="13"/>
      <c r="D29" s="13"/>
      <c r="E29" s="13"/>
    </row>
    <row r="30" spans="1:5" x14ac:dyDescent="0.3">
      <c r="A30" s="13"/>
      <c r="B30" s="14"/>
      <c r="C30" s="13"/>
      <c r="D30" s="13"/>
      <c r="E30" s="13"/>
    </row>
    <row r="31" spans="1:5" x14ac:dyDescent="0.3">
      <c r="A31" s="13"/>
      <c r="B31" s="14"/>
      <c r="C31" s="13"/>
      <c r="D31" s="13"/>
      <c r="E31" s="13"/>
    </row>
    <row r="32" spans="1:5" x14ac:dyDescent="0.3">
      <c r="A32" s="13"/>
      <c r="B32" s="14"/>
      <c r="C32" s="13"/>
      <c r="D32" s="13"/>
      <c r="E32" s="13"/>
    </row>
    <row r="33" spans="1:6" x14ac:dyDescent="0.3">
      <c r="A33" s="13"/>
      <c r="B33" s="14"/>
      <c r="C33" s="13"/>
      <c r="D33" s="13"/>
      <c r="E33" s="13"/>
    </row>
    <row r="34" spans="1:6" x14ac:dyDescent="0.3">
      <c r="A34" s="13"/>
      <c r="B34" s="14"/>
      <c r="C34" s="13"/>
      <c r="D34" s="13"/>
      <c r="E34" s="13"/>
    </row>
    <row r="35" spans="1:6" x14ac:dyDescent="0.3">
      <c r="A35" s="13"/>
      <c r="B35" s="14"/>
      <c r="C35" s="13"/>
      <c r="D35" s="13"/>
      <c r="E35" s="13"/>
    </row>
    <row r="36" spans="1:6" x14ac:dyDescent="0.3">
      <c r="A36" s="13"/>
      <c r="B36" s="14"/>
      <c r="C36" s="13"/>
      <c r="D36" s="13"/>
      <c r="E36" s="13"/>
    </row>
    <row r="37" spans="1:6" x14ac:dyDescent="0.3">
      <c r="A37" s="13"/>
      <c r="B37" s="14"/>
      <c r="C37" s="13"/>
      <c r="D37" s="13"/>
      <c r="E37" s="13"/>
      <c r="F37" s="10"/>
    </row>
    <row r="38" spans="1:6" x14ac:dyDescent="0.3">
      <c r="A38" s="13"/>
      <c r="B38" s="14"/>
      <c r="C38" s="13"/>
      <c r="D38" s="13"/>
      <c r="E38" s="13"/>
    </row>
    <row r="39" spans="1:6" x14ac:dyDescent="0.3">
      <c r="A39" s="13"/>
      <c r="B39" s="14"/>
      <c r="C39" s="13"/>
      <c r="D39" s="13"/>
      <c r="E39" s="13"/>
    </row>
    <row r="40" spans="1:6" x14ac:dyDescent="0.3">
      <c r="A40" s="13"/>
      <c r="B40" s="14"/>
      <c r="C40" s="13"/>
      <c r="D40" s="13"/>
      <c r="E40" s="13"/>
    </row>
    <row r="41" spans="1:6" x14ac:dyDescent="0.3">
      <c r="A41" s="13"/>
      <c r="B41" s="14"/>
      <c r="C41" s="13"/>
      <c r="D41" s="13"/>
      <c r="E41" s="13"/>
    </row>
    <row r="42" spans="1:6" x14ac:dyDescent="0.3">
      <c r="A42" s="13"/>
      <c r="B42" s="14"/>
      <c r="C42" s="13"/>
      <c r="D42" s="13"/>
      <c r="E42" s="13"/>
    </row>
    <row r="43" spans="1:6" x14ac:dyDescent="0.3">
      <c r="A43" s="13"/>
      <c r="B43" s="14"/>
      <c r="C43" s="13"/>
      <c r="D43" s="13"/>
      <c r="E43" s="13"/>
    </row>
    <row r="44" spans="1:6" x14ac:dyDescent="0.3">
      <c r="A44" s="13"/>
      <c r="B44" s="14"/>
      <c r="C44" s="13"/>
      <c r="D44" s="13"/>
      <c r="E44" s="13"/>
    </row>
    <row r="45" spans="1:6" x14ac:dyDescent="0.3">
      <c r="A45" s="13"/>
      <c r="B45" s="14"/>
      <c r="C45" s="13"/>
      <c r="D45" s="13"/>
      <c r="E45" s="13"/>
    </row>
    <row r="46" spans="1:6" x14ac:dyDescent="0.3">
      <c r="A46" s="13"/>
      <c r="B46" s="14"/>
      <c r="C46" s="13"/>
      <c r="D46" s="13"/>
      <c r="E46" s="13"/>
    </row>
    <row r="47" spans="1:6" x14ac:dyDescent="0.3">
      <c r="A47" s="13"/>
      <c r="B47" s="14"/>
      <c r="C47" s="13"/>
      <c r="D47" s="13"/>
      <c r="E47" s="13"/>
    </row>
    <row r="48" spans="1:6" x14ac:dyDescent="0.3">
      <c r="A48" s="13"/>
      <c r="B48" s="14"/>
      <c r="C48" s="13"/>
      <c r="D48" s="13"/>
      <c r="E48" s="13"/>
    </row>
    <row r="49" spans="1:5" x14ac:dyDescent="0.3">
      <c r="A49" s="13"/>
      <c r="B49" s="14"/>
      <c r="C49" s="13"/>
      <c r="D49" s="13"/>
      <c r="E49" s="13"/>
    </row>
    <row r="50" spans="1:5" x14ac:dyDescent="0.3">
      <c r="A50" s="13"/>
      <c r="B50" s="14"/>
      <c r="C50" s="13"/>
      <c r="D50" s="13"/>
      <c r="E50" s="13"/>
    </row>
    <row r="51" spans="1:5" x14ac:dyDescent="0.3">
      <c r="A51" s="13"/>
      <c r="B51" s="14"/>
      <c r="C51" s="13"/>
      <c r="D51" s="13"/>
      <c r="E51" s="13"/>
    </row>
    <row r="52" spans="1:5" x14ac:dyDescent="0.3">
      <c r="A52" s="13"/>
      <c r="B52" s="14"/>
      <c r="C52" s="13"/>
      <c r="D52" s="13"/>
      <c r="E52" s="13"/>
    </row>
    <row r="53" spans="1:5" x14ac:dyDescent="0.3">
      <c r="A53" s="13"/>
      <c r="B53" s="14"/>
      <c r="C53" s="13"/>
      <c r="D53" s="13"/>
      <c r="E53" s="13"/>
    </row>
    <row r="54" spans="1:5" x14ac:dyDescent="0.3">
      <c r="A54" s="13"/>
      <c r="B54" s="14"/>
      <c r="C54" s="13"/>
      <c r="D54" s="13"/>
      <c r="E54" s="13"/>
    </row>
    <row r="55" spans="1:5" x14ac:dyDescent="0.3">
      <c r="A55" s="13"/>
      <c r="B55" s="14"/>
      <c r="C55" s="13"/>
      <c r="D55" s="13"/>
      <c r="E55" s="13"/>
    </row>
    <row r="56" spans="1:5" x14ac:dyDescent="0.3">
      <c r="A56" s="13"/>
      <c r="B56" s="14"/>
      <c r="C56" s="13"/>
      <c r="D56" s="13"/>
      <c r="E56" s="13"/>
    </row>
    <row r="57" spans="1:5" x14ac:dyDescent="0.3">
      <c r="A57" s="13"/>
      <c r="B57" s="14"/>
      <c r="C57" s="13"/>
      <c r="D57" s="13"/>
      <c r="E57" s="13"/>
    </row>
    <row r="58" spans="1:5" x14ac:dyDescent="0.3">
      <c r="A58" s="13"/>
      <c r="B58" s="14"/>
      <c r="C58" s="13"/>
      <c r="D58" s="13"/>
      <c r="E58" s="13"/>
    </row>
    <row r="59" spans="1:5" x14ac:dyDescent="0.3">
      <c r="A59" s="13"/>
      <c r="B59" s="14"/>
      <c r="C59" s="13"/>
      <c r="D59" s="13"/>
      <c r="E59" s="13"/>
    </row>
    <row r="60" spans="1:5" x14ac:dyDescent="0.3">
      <c r="A60" s="13"/>
      <c r="B60" s="14"/>
      <c r="C60" s="13"/>
      <c r="D60" s="13"/>
      <c r="E60" s="13"/>
    </row>
    <row r="61" spans="1:5" x14ac:dyDescent="0.3">
      <c r="A61" s="13"/>
      <c r="B61" s="14"/>
      <c r="C61" s="13"/>
      <c r="D61" s="13"/>
      <c r="E61" s="13"/>
    </row>
    <row r="62" spans="1:5" x14ac:dyDescent="0.3">
      <c r="A62" s="13"/>
      <c r="B62" s="14"/>
      <c r="C62" s="13"/>
      <c r="D62" s="13"/>
      <c r="E62" s="13"/>
    </row>
    <row r="63" spans="1:5" x14ac:dyDescent="0.3">
      <c r="A63" s="13"/>
      <c r="B63" s="14"/>
      <c r="C63" s="13"/>
      <c r="D63" s="13"/>
      <c r="E63" s="13"/>
    </row>
    <row r="64" spans="1:5" x14ac:dyDescent="0.3">
      <c r="A64" s="13"/>
      <c r="B64" s="14"/>
      <c r="C64" s="13"/>
      <c r="D64" s="13"/>
      <c r="E64" s="13"/>
    </row>
    <row r="65" spans="1:5" x14ac:dyDescent="0.3">
      <c r="A65" s="13"/>
      <c r="B65" s="14"/>
      <c r="C65" s="13"/>
      <c r="D65" s="13"/>
      <c r="E65" s="13"/>
    </row>
    <row r="66" spans="1:5" x14ac:dyDescent="0.3">
      <c r="A66" s="13"/>
      <c r="B66" s="14"/>
      <c r="C66" s="13"/>
      <c r="D66" s="13"/>
      <c r="E66" s="13"/>
    </row>
    <row r="67" spans="1:5" x14ac:dyDescent="0.3">
      <c r="A67" s="13"/>
      <c r="B67" s="14"/>
      <c r="C67" s="13"/>
      <c r="D67" s="13"/>
      <c r="E67" s="13"/>
    </row>
    <row r="68" spans="1:5" x14ac:dyDescent="0.3">
      <c r="A68" s="13"/>
      <c r="B68" s="14"/>
      <c r="C68" s="13"/>
      <c r="D68" s="13"/>
      <c r="E68" s="13"/>
    </row>
    <row r="69" spans="1:5" x14ac:dyDescent="0.3">
      <c r="A69" s="13"/>
      <c r="B69" s="14"/>
      <c r="C69" s="13"/>
      <c r="D69" s="13"/>
      <c r="E69" s="13"/>
    </row>
    <row r="70" spans="1:5" x14ac:dyDescent="0.3">
      <c r="A70" s="13"/>
      <c r="B70" s="14"/>
      <c r="C70" s="13"/>
      <c r="D70" s="13"/>
      <c r="E70" s="13"/>
    </row>
    <row r="71" spans="1:5" x14ac:dyDescent="0.3">
      <c r="A71" s="13"/>
      <c r="B71" s="14"/>
      <c r="C71" s="13"/>
      <c r="D71" s="13"/>
      <c r="E71" s="13"/>
    </row>
    <row r="72" spans="1:5" x14ac:dyDescent="0.3">
      <c r="A72" s="13"/>
      <c r="B72" s="14"/>
      <c r="C72" s="13"/>
      <c r="D72" s="13"/>
      <c r="E72" s="13"/>
    </row>
    <row r="73" spans="1:5" x14ac:dyDescent="0.3">
      <c r="B73" s="14"/>
    </row>
    <row r="74" spans="1:5" x14ac:dyDescent="0.3">
      <c r="B74" s="14"/>
    </row>
    <row r="75" spans="1:5" x14ac:dyDescent="0.3">
      <c r="B75" s="14"/>
    </row>
    <row r="76" spans="1:5" x14ac:dyDescent="0.3">
      <c r="B76" s="14"/>
    </row>
    <row r="77" spans="1:5" x14ac:dyDescent="0.3">
      <c r="B77" s="14"/>
    </row>
    <row r="78" spans="1:5" x14ac:dyDescent="0.3">
      <c r="B78" s="14"/>
    </row>
    <row r="79" spans="1:5" x14ac:dyDescent="0.3">
      <c r="B79" s="14"/>
    </row>
    <row r="80" spans="1:5" x14ac:dyDescent="0.3">
      <c r="B80" s="14"/>
    </row>
    <row r="81" spans="2:2" x14ac:dyDescent="0.3">
      <c r="B81" s="14"/>
    </row>
    <row r="82" spans="2:2" x14ac:dyDescent="0.3">
      <c r="B82" s="14"/>
    </row>
    <row r="83" spans="2:2" x14ac:dyDescent="0.3">
      <c r="B83" s="14"/>
    </row>
    <row r="84" spans="2:2" x14ac:dyDescent="0.3">
      <c r="B84" s="14"/>
    </row>
    <row r="85" spans="2:2" x14ac:dyDescent="0.3">
      <c r="B85" s="14"/>
    </row>
    <row r="86" spans="2:2" x14ac:dyDescent="0.3">
      <c r="B86" s="14"/>
    </row>
  </sheetData>
  <dataValidations count="1">
    <dataValidation type="list" allowBlank="1" showInputMessage="1" showErrorMessage="1" sqref="A2:A72" xr:uid="{9E8F0829-3517-4CE2-8F45-A9DDC45A65D2}">
      <formula1>"""use"",""not use"""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F073-0142-4126-81FB-0C488F33E00A}">
  <sheetPr filterMode="1"/>
  <dimension ref="A2:E59"/>
  <sheetViews>
    <sheetView workbookViewId="0">
      <selection activeCell="O48" sqref="O48"/>
    </sheetView>
  </sheetViews>
  <sheetFormatPr defaultRowHeight="16.5" x14ac:dyDescent="0.3"/>
  <cols>
    <col min="1" max="1" width="9" style="16"/>
    <col min="2" max="2" width="9" style="1"/>
    <col min="4" max="4" width="17.5" bestFit="1" customWidth="1"/>
    <col min="5" max="5" width="17.75" bestFit="1" customWidth="1"/>
  </cols>
  <sheetData>
    <row r="2" spans="1:5" hidden="1" x14ac:dyDescent="0.3">
      <c r="A2" s="16" t="s">
        <v>735</v>
      </c>
      <c r="B2" s="1" t="s">
        <v>15</v>
      </c>
      <c r="C2" s="17" t="s">
        <v>858</v>
      </c>
      <c r="D2" s="17" t="s">
        <v>810</v>
      </c>
      <c r="E2" s="17" t="s">
        <v>752</v>
      </c>
    </row>
    <row r="3" spans="1:5" hidden="1" x14ac:dyDescent="0.3">
      <c r="A3" s="16" t="s">
        <v>736</v>
      </c>
      <c r="B3" s="1" t="s">
        <v>15</v>
      </c>
      <c r="C3" s="17" t="s">
        <v>859</v>
      </c>
      <c r="D3" s="17" t="s">
        <v>808</v>
      </c>
      <c r="E3" s="17" t="s">
        <v>753</v>
      </c>
    </row>
    <row r="4" spans="1:5" hidden="1" x14ac:dyDescent="0.3">
      <c r="A4" s="16" t="s">
        <v>737</v>
      </c>
      <c r="B4" s="1" t="s">
        <v>15</v>
      </c>
      <c r="C4" s="17" t="s">
        <v>860</v>
      </c>
      <c r="D4" s="17" t="s">
        <v>809</v>
      </c>
      <c r="E4" s="17" t="s">
        <v>754</v>
      </c>
    </row>
    <row r="5" spans="1:5" hidden="1" x14ac:dyDescent="0.3">
      <c r="A5" s="16" t="s">
        <v>644</v>
      </c>
      <c r="B5" s="1" t="s">
        <v>15</v>
      </c>
      <c r="C5" s="17" t="s">
        <v>861</v>
      </c>
      <c r="D5" s="17" t="s">
        <v>812</v>
      </c>
      <c r="E5" s="17" t="s">
        <v>755</v>
      </c>
    </row>
    <row r="6" spans="1:5" hidden="1" x14ac:dyDescent="0.3">
      <c r="A6" s="16" t="s">
        <v>639</v>
      </c>
      <c r="B6" s="1" t="s">
        <v>15</v>
      </c>
      <c r="C6" s="17" t="s">
        <v>862</v>
      </c>
      <c r="D6" s="17" t="s">
        <v>811</v>
      </c>
      <c r="E6" s="17" t="s">
        <v>756</v>
      </c>
    </row>
    <row r="7" spans="1:5" hidden="1" x14ac:dyDescent="0.3">
      <c r="A7" s="16" t="s">
        <v>646</v>
      </c>
      <c r="B7" s="1" t="s">
        <v>15</v>
      </c>
      <c r="C7" s="17" t="s">
        <v>863</v>
      </c>
      <c r="D7" s="17" t="s">
        <v>828</v>
      </c>
      <c r="E7" s="17" t="s">
        <v>757</v>
      </c>
    </row>
    <row r="8" spans="1:5" hidden="1" x14ac:dyDescent="0.3">
      <c r="A8" s="16" t="s">
        <v>647</v>
      </c>
      <c r="B8" s="1" t="s">
        <v>15</v>
      </c>
      <c r="C8" s="17" t="s">
        <v>734</v>
      </c>
      <c r="D8" s="17" t="s">
        <v>829</v>
      </c>
      <c r="E8" s="17" t="s">
        <v>758</v>
      </c>
    </row>
    <row r="9" spans="1:5" hidden="1" x14ac:dyDescent="0.3">
      <c r="A9" s="16" t="s">
        <v>648</v>
      </c>
      <c r="B9" s="1" t="s">
        <v>15</v>
      </c>
      <c r="C9" s="17" t="s">
        <v>864</v>
      </c>
      <c r="D9" s="17" t="s">
        <v>813</v>
      </c>
      <c r="E9" t="s">
        <v>759</v>
      </c>
    </row>
    <row r="10" spans="1:5" hidden="1" x14ac:dyDescent="0.3">
      <c r="A10" s="16" t="s">
        <v>738</v>
      </c>
      <c r="B10" s="1" t="s">
        <v>15</v>
      </c>
      <c r="C10" s="17" t="s">
        <v>865</v>
      </c>
      <c r="D10" s="17" t="s">
        <v>830</v>
      </c>
      <c r="E10" s="17" t="s">
        <v>760</v>
      </c>
    </row>
    <row r="11" spans="1:5" hidden="1" x14ac:dyDescent="0.3">
      <c r="A11" s="16" t="s">
        <v>739</v>
      </c>
      <c r="B11" s="1" t="s">
        <v>15</v>
      </c>
      <c r="C11" s="17" t="s">
        <v>866</v>
      </c>
      <c r="D11" s="17" t="s">
        <v>831</v>
      </c>
      <c r="E11" s="17" t="s">
        <v>761</v>
      </c>
    </row>
    <row r="12" spans="1:5" hidden="1" x14ac:dyDescent="0.3">
      <c r="A12" s="16" t="s">
        <v>740</v>
      </c>
      <c r="B12" s="1" t="s">
        <v>15</v>
      </c>
      <c r="C12" s="17" t="s">
        <v>867</v>
      </c>
      <c r="D12" s="17" t="s">
        <v>832</v>
      </c>
      <c r="E12" s="17" t="s">
        <v>762</v>
      </c>
    </row>
    <row r="13" spans="1:5" hidden="1" x14ac:dyDescent="0.3">
      <c r="A13" s="16" t="s">
        <v>652</v>
      </c>
      <c r="B13" s="1" t="s">
        <v>15</v>
      </c>
      <c r="C13" s="17" t="s">
        <v>868</v>
      </c>
      <c r="D13" s="17" t="s">
        <v>833</v>
      </c>
      <c r="E13" s="17" t="s">
        <v>763</v>
      </c>
    </row>
    <row r="14" spans="1:5" hidden="1" x14ac:dyDescent="0.3">
      <c r="A14" s="16" t="s">
        <v>653</v>
      </c>
      <c r="B14" s="1" t="s">
        <v>15</v>
      </c>
      <c r="C14" s="17" t="s">
        <v>869</v>
      </c>
      <c r="D14" s="17" t="s">
        <v>834</v>
      </c>
      <c r="E14" s="17" t="s">
        <v>764</v>
      </c>
    </row>
    <row r="15" spans="1:5" hidden="1" x14ac:dyDescent="0.3">
      <c r="A15" s="16" t="s">
        <v>654</v>
      </c>
      <c r="B15" s="1" t="s">
        <v>15</v>
      </c>
      <c r="C15" s="17" t="s">
        <v>870</v>
      </c>
      <c r="D15" s="17" t="s">
        <v>835</v>
      </c>
      <c r="E15" s="17" t="s">
        <v>765</v>
      </c>
    </row>
    <row r="16" spans="1:5" hidden="1" x14ac:dyDescent="0.3">
      <c r="A16" s="16" t="s">
        <v>655</v>
      </c>
      <c r="B16" s="1" t="s">
        <v>15</v>
      </c>
      <c r="C16" s="17" t="s">
        <v>871</v>
      </c>
      <c r="D16" s="17" t="s">
        <v>836</v>
      </c>
      <c r="E16" s="17" t="s">
        <v>766</v>
      </c>
    </row>
    <row r="17" spans="1:5" hidden="1" x14ac:dyDescent="0.3">
      <c r="A17" s="16" t="s">
        <v>656</v>
      </c>
      <c r="B17" s="1" t="s">
        <v>15</v>
      </c>
      <c r="C17" s="17" t="s">
        <v>872</v>
      </c>
      <c r="D17" s="17" t="s">
        <v>837</v>
      </c>
      <c r="E17" s="17" t="s">
        <v>767</v>
      </c>
    </row>
    <row r="18" spans="1:5" hidden="1" x14ac:dyDescent="0.3">
      <c r="A18" s="16" t="s">
        <v>657</v>
      </c>
      <c r="B18" s="1" t="s">
        <v>15</v>
      </c>
      <c r="C18" s="17" t="s">
        <v>873</v>
      </c>
      <c r="D18" s="17" t="s">
        <v>838</v>
      </c>
      <c r="E18" s="17" t="s">
        <v>768</v>
      </c>
    </row>
    <row r="19" spans="1:5" hidden="1" x14ac:dyDescent="0.3">
      <c r="A19" s="16" t="s">
        <v>658</v>
      </c>
      <c r="B19" s="1" t="s">
        <v>15</v>
      </c>
      <c r="C19" s="17" t="s">
        <v>874</v>
      </c>
      <c r="D19" s="17" t="s">
        <v>839</v>
      </c>
      <c r="E19" s="17" t="s">
        <v>769</v>
      </c>
    </row>
    <row r="20" spans="1:5" hidden="1" x14ac:dyDescent="0.3">
      <c r="A20" s="16" t="s">
        <v>659</v>
      </c>
      <c r="B20" s="1" t="s">
        <v>15</v>
      </c>
      <c r="C20" s="17" t="s">
        <v>875</v>
      </c>
      <c r="D20" s="17" t="s">
        <v>840</v>
      </c>
      <c r="E20" s="17" t="s">
        <v>770</v>
      </c>
    </row>
    <row r="21" spans="1:5" hidden="1" x14ac:dyDescent="0.3">
      <c r="A21" s="16" t="s">
        <v>660</v>
      </c>
      <c r="B21" s="1" t="s">
        <v>15</v>
      </c>
      <c r="C21" s="17" t="s">
        <v>876</v>
      </c>
      <c r="D21" s="17" t="s">
        <v>841</v>
      </c>
      <c r="E21" s="17" t="s">
        <v>771</v>
      </c>
    </row>
    <row r="22" spans="1:5" hidden="1" x14ac:dyDescent="0.3">
      <c r="A22" s="16" t="s">
        <v>661</v>
      </c>
      <c r="B22" s="1" t="s">
        <v>15</v>
      </c>
      <c r="C22" s="17" t="s">
        <v>877</v>
      </c>
      <c r="D22" s="17" t="s">
        <v>842</v>
      </c>
      <c r="E22" s="17" t="s">
        <v>772</v>
      </c>
    </row>
    <row r="23" spans="1:5" hidden="1" x14ac:dyDescent="0.3">
      <c r="A23" s="16" t="s">
        <v>662</v>
      </c>
      <c r="B23" s="1" t="s">
        <v>15</v>
      </c>
      <c r="C23" s="17" t="s">
        <v>878</v>
      </c>
      <c r="D23" s="17" t="s">
        <v>843</v>
      </c>
      <c r="E23" s="17" t="s">
        <v>773</v>
      </c>
    </row>
    <row r="24" spans="1:5" hidden="1" x14ac:dyDescent="0.3">
      <c r="A24" s="16" t="s">
        <v>663</v>
      </c>
      <c r="B24" s="1" t="s">
        <v>15</v>
      </c>
      <c r="C24" s="17" t="s">
        <v>879</v>
      </c>
      <c r="D24" s="17" t="s">
        <v>844</v>
      </c>
      <c r="E24" s="17" t="s">
        <v>774</v>
      </c>
    </row>
    <row r="25" spans="1:5" hidden="1" x14ac:dyDescent="0.3">
      <c r="A25" s="16" t="s">
        <v>664</v>
      </c>
      <c r="B25" s="1" t="s">
        <v>15</v>
      </c>
      <c r="C25" s="17" t="s">
        <v>880</v>
      </c>
      <c r="D25" s="17" t="s">
        <v>845</v>
      </c>
      <c r="E25" s="17" t="s">
        <v>775</v>
      </c>
    </row>
    <row r="26" spans="1:5" hidden="1" x14ac:dyDescent="0.3">
      <c r="A26" s="16" t="s">
        <v>741</v>
      </c>
      <c r="B26" s="1" t="s">
        <v>15</v>
      </c>
      <c r="C26" s="17" t="s">
        <v>881</v>
      </c>
      <c r="D26" s="17" t="s">
        <v>846</v>
      </c>
      <c r="E26" s="17" t="s">
        <v>776</v>
      </c>
    </row>
    <row r="27" spans="1:5" hidden="1" x14ac:dyDescent="0.3">
      <c r="A27" s="16" t="s">
        <v>742</v>
      </c>
      <c r="B27" s="1" t="s">
        <v>15</v>
      </c>
      <c r="C27" s="17" t="s">
        <v>882</v>
      </c>
      <c r="D27" s="17" t="s">
        <v>847</v>
      </c>
      <c r="E27" s="17" t="s">
        <v>777</v>
      </c>
    </row>
    <row r="28" spans="1:5" hidden="1" x14ac:dyDescent="0.3">
      <c r="A28" s="16" t="s">
        <v>743</v>
      </c>
      <c r="B28" s="1" t="s">
        <v>15</v>
      </c>
      <c r="C28" s="17" t="s">
        <v>883</v>
      </c>
      <c r="D28" s="17" t="s">
        <v>848</v>
      </c>
      <c r="E28" s="17" t="s">
        <v>778</v>
      </c>
    </row>
    <row r="29" spans="1:5" hidden="1" x14ac:dyDescent="0.3">
      <c r="A29" s="16" t="s">
        <v>747</v>
      </c>
      <c r="B29" s="1" t="s">
        <v>806</v>
      </c>
      <c r="C29" s="17" t="s">
        <v>884</v>
      </c>
      <c r="D29" s="17" t="s">
        <v>814</v>
      </c>
      <c r="E29" s="17" t="s">
        <v>779</v>
      </c>
    </row>
    <row r="30" spans="1:5" hidden="1" x14ac:dyDescent="0.3">
      <c r="A30" s="16" t="s">
        <v>744</v>
      </c>
      <c r="B30" s="1" t="s">
        <v>806</v>
      </c>
      <c r="C30" s="17" t="s">
        <v>884</v>
      </c>
      <c r="D30" s="17" t="s">
        <v>815</v>
      </c>
      <c r="E30" s="17" t="s">
        <v>780</v>
      </c>
    </row>
    <row r="31" spans="1:5" hidden="1" x14ac:dyDescent="0.3">
      <c r="A31" s="16" t="s">
        <v>745</v>
      </c>
      <c r="B31" s="1" t="s">
        <v>806</v>
      </c>
      <c r="C31" s="17" t="s">
        <v>884</v>
      </c>
      <c r="D31" s="17" t="s">
        <v>816</v>
      </c>
      <c r="E31" s="17" t="s">
        <v>781</v>
      </c>
    </row>
    <row r="32" spans="1:5" hidden="1" x14ac:dyDescent="0.3">
      <c r="A32" s="16" t="s">
        <v>746</v>
      </c>
      <c r="B32" s="1" t="s">
        <v>806</v>
      </c>
      <c r="C32" s="17" t="s">
        <v>884</v>
      </c>
      <c r="D32" s="17" t="s">
        <v>817</v>
      </c>
      <c r="E32" s="17" t="s">
        <v>782</v>
      </c>
    </row>
    <row r="33" spans="1:5" hidden="1" x14ac:dyDescent="0.3">
      <c r="A33" s="16" t="s">
        <v>683</v>
      </c>
      <c r="B33" s="1" t="s">
        <v>806</v>
      </c>
      <c r="C33" s="17" t="s">
        <v>884</v>
      </c>
      <c r="D33" s="17" t="s">
        <v>818</v>
      </c>
      <c r="E33" s="17" t="s">
        <v>783</v>
      </c>
    </row>
    <row r="34" spans="1:5" hidden="1" x14ac:dyDescent="0.3">
      <c r="A34" s="16" t="s">
        <v>684</v>
      </c>
      <c r="B34" s="1" t="s">
        <v>806</v>
      </c>
      <c r="C34" s="17" t="s">
        <v>884</v>
      </c>
      <c r="D34" s="17" t="s">
        <v>819</v>
      </c>
      <c r="E34" s="17" t="s">
        <v>784</v>
      </c>
    </row>
    <row r="35" spans="1:5" hidden="1" x14ac:dyDescent="0.3">
      <c r="A35" s="16" t="s">
        <v>685</v>
      </c>
      <c r="B35" s="1" t="s">
        <v>806</v>
      </c>
      <c r="C35" s="17" t="s">
        <v>884</v>
      </c>
      <c r="D35" s="17" t="s">
        <v>820</v>
      </c>
      <c r="E35" s="17" t="s">
        <v>785</v>
      </c>
    </row>
    <row r="36" spans="1:5" hidden="1" x14ac:dyDescent="0.3">
      <c r="A36" s="16" t="s">
        <v>698</v>
      </c>
      <c r="B36" s="1" t="s">
        <v>806</v>
      </c>
      <c r="C36" s="17" t="s">
        <v>884</v>
      </c>
      <c r="D36" s="17" t="s">
        <v>605</v>
      </c>
      <c r="E36" s="17" t="s">
        <v>786</v>
      </c>
    </row>
    <row r="37" spans="1:5" hidden="1" x14ac:dyDescent="0.3">
      <c r="A37" s="16" t="s">
        <v>695</v>
      </c>
      <c r="B37" s="1" t="s">
        <v>806</v>
      </c>
      <c r="C37" s="17" t="s">
        <v>884</v>
      </c>
      <c r="D37" s="17" t="s">
        <v>602</v>
      </c>
      <c r="E37" s="17" t="s">
        <v>787</v>
      </c>
    </row>
    <row r="38" spans="1:5" hidden="1" x14ac:dyDescent="0.3">
      <c r="A38" s="16" t="s">
        <v>748</v>
      </c>
      <c r="B38" s="1" t="s">
        <v>806</v>
      </c>
      <c r="C38" s="17" t="s">
        <v>885</v>
      </c>
      <c r="D38" s="17" t="s">
        <v>821</v>
      </c>
      <c r="E38" s="17" t="s">
        <v>788</v>
      </c>
    </row>
    <row r="39" spans="1:5" hidden="1" x14ac:dyDescent="0.3">
      <c r="A39" s="16" t="s">
        <v>749</v>
      </c>
      <c r="B39" s="1" t="s">
        <v>806</v>
      </c>
      <c r="C39" s="17" t="s">
        <v>886</v>
      </c>
      <c r="D39" s="17" t="s">
        <v>849</v>
      </c>
      <c r="E39" s="17" t="s">
        <v>789</v>
      </c>
    </row>
    <row r="40" spans="1:5" x14ac:dyDescent="0.3">
      <c r="A40" s="16" t="s">
        <v>735</v>
      </c>
      <c r="B40" s="1" t="s">
        <v>807</v>
      </c>
      <c r="C40" s="17" t="s">
        <v>858</v>
      </c>
      <c r="D40" s="17" t="s">
        <v>810</v>
      </c>
      <c r="E40" s="17" t="s">
        <v>752</v>
      </c>
    </row>
    <row r="41" spans="1:5" x14ac:dyDescent="0.3">
      <c r="A41" s="16" t="s">
        <v>736</v>
      </c>
      <c r="B41" s="1" t="s">
        <v>807</v>
      </c>
      <c r="C41" s="17" t="s">
        <v>859</v>
      </c>
      <c r="D41" s="17" t="s">
        <v>808</v>
      </c>
      <c r="E41" s="17" t="s">
        <v>753</v>
      </c>
    </row>
    <row r="42" spans="1:5" x14ac:dyDescent="0.3">
      <c r="A42" s="16" t="s">
        <v>737</v>
      </c>
      <c r="B42" s="1" t="s">
        <v>807</v>
      </c>
      <c r="C42" s="17" t="s">
        <v>860</v>
      </c>
      <c r="D42" s="17" t="s">
        <v>809</v>
      </c>
      <c r="E42" s="17" t="s">
        <v>754</v>
      </c>
    </row>
    <row r="43" spans="1:5" x14ac:dyDescent="0.3">
      <c r="A43" s="16" t="s">
        <v>644</v>
      </c>
      <c r="B43" s="1" t="s">
        <v>807</v>
      </c>
      <c r="C43" s="17" t="s">
        <v>861</v>
      </c>
      <c r="D43" s="17" t="s">
        <v>822</v>
      </c>
      <c r="E43" s="17" t="s">
        <v>790</v>
      </c>
    </row>
    <row r="44" spans="1:5" x14ac:dyDescent="0.3">
      <c r="A44" s="16" t="s">
        <v>639</v>
      </c>
      <c r="B44" s="1" t="s">
        <v>807</v>
      </c>
      <c r="C44" s="17" t="s">
        <v>862</v>
      </c>
      <c r="D44" s="17" t="s">
        <v>850</v>
      </c>
      <c r="E44" s="17" t="s">
        <v>791</v>
      </c>
    </row>
    <row r="45" spans="1:5" x14ac:dyDescent="0.3">
      <c r="A45" s="16" t="s">
        <v>668</v>
      </c>
      <c r="B45" s="1" t="s">
        <v>807</v>
      </c>
      <c r="C45" s="17" t="s">
        <v>887</v>
      </c>
      <c r="D45" s="17" t="s">
        <v>851</v>
      </c>
      <c r="E45" s="17" t="s">
        <v>792</v>
      </c>
    </row>
    <row r="46" spans="1:5" x14ac:dyDescent="0.3">
      <c r="A46" s="16" t="s">
        <v>669</v>
      </c>
      <c r="B46" s="1" t="s">
        <v>807</v>
      </c>
      <c r="C46" s="17" t="s">
        <v>888</v>
      </c>
      <c r="D46" s="17" t="s">
        <v>823</v>
      </c>
      <c r="E46" t="s">
        <v>793</v>
      </c>
    </row>
    <row r="47" spans="1:5" x14ac:dyDescent="0.3">
      <c r="A47" s="16" t="s">
        <v>670</v>
      </c>
      <c r="B47" s="1" t="s">
        <v>807</v>
      </c>
      <c r="C47" s="17" t="s">
        <v>889</v>
      </c>
      <c r="D47" s="17" t="s">
        <v>852</v>
      </c>
      <c r="E47" s="17" t="s">
        <v>794</v>
      </c>
    </row>
    <row r="48" spans="1:5" x14ac:dyDescent="0.3">
      <c r="A48" s="16" t="s">
        <v>671</v>
      </c>
      <c r="B48" s="1" t="s">
        <v>807</v>
      </c>
      <c r="C48" s="17" t="s">
        <v>890</v>
      </c>
      <c r="D48" s="17" t="s">
        <v>824</v>
      </c>
      <c r="E48" t="s">
        <v>795</v>
      </c>
    </row>
    <row r="49" spans="1:5" x14ac:dyDescent="0.3">
      <c r="A49" s="16" t="s">
        <v>672</v>
      </c>
      <c r="B49" s="1" t="s">
        <v>807</v>
      </c>
      <c r="C49" s="17" t="s">
        <v>891</v>
      </c>
      <c r="D49" s="17" t="s">
        <v>853</v>
      </c>
      <c r="E49" s="17" t="s">
        <v>796</v>
      </c>
    </row>
    <row r="50" spans="1:5" x14ac:dyDescent="0.3">
      <c r="A50" s="16" t="s">
        <v>673</v>
      </c>
      <c r="B50" s="1" t="s">
        <v>807</v>
      </c>
      <c r="C50" s="17" t="s">
        <v>892</v>
      </c>
      <c r="D50" s="17" t="s">
        <v>854</v>
      </c>
      <c r="E50" s="17" t="s">
        <v>797</v>
      </c>
    </row>
    <row r="51" spans="1:5" x14ac:dyDescent="0.3">
      <c r="A51" s="16" t="s">
        <v>674</v>
      </c>
      <c r="B51" s="1" t="s">
        <v>807</v>
      </c>
      <c r="C51" s="17" t="s">
        <v>893</v>
      </c>
      <c r="D51" s="17" t="s">
        <v>855</v>
      </c>
      <c r="E51" s="17" t="s">
        <v>798</v>
      </c>
    </row>
    <row r="52" spans="1:5" x14ac:dyDescent="0.3">
      <c r="A52" s="16" t="s">
        <v>655</v>
      </c>
      <c r="B52" s="1" t="s">
        <v>807</v>
      </c>
      <c r="C52" s="17" t="s">
        <v>871</v>
      </c>
      <c r="D52" s="17" t="s">
        <v>836</v>
      </c>
      <c r="E52" s="17" t="s">
        <v>799</v>
      </c>
    </row>
    <row r="53" spans="1:5" x14ac:dyDescent="0.3">
      <c r="A53" s="16" t="s">
        <v>656</v>
      </c>
      <c r="B53" s="1" t="s">
        <v>807</v>
      </c>
      <c r="C53" s="17" t="s">
        <v>872</v>
      </c>
      <c r="D53" s="17" t="s">
        <v>837</v>
      </c>
      <c r="E53" s="17" t="s">
        <v>800</v>
      </c>
    </row>
    <row r="54" spans="1:5" x14ac:dyDescent="0.3">
      <c r="A54" s="16" t="s">
        <v>657</v>
      </c>
      <c r="B54" s="1" t="s">
        <v>807</v>
      </c>
      <c r="C54" s="17" t="s">
        <v>873</v>
      </c>
      <c r="D54" s="17" t="s">
        <v>838</v>
      </c>
      <c r="E54" s="17" t="s">
        <v>768</v>
      </c>
    </row>
    <row r="55" spans="1:5" x14ac:dyDescent="0.3">
      <c r="A55" s="16" t="s">
        <v>675</v>
      </c>
      <c r="B55" s="1" t="s">
        <v>807</v>
      </c>
      <c r="C55" s="17" t="s">
        <v>894</v>
      </c>
      <c r="D55" s="17" t="s">
        <v>825</v>
      </c>
      <c r="E55" s="17" t="s">
        <v>801</v>
      </c>
    </row>
    <row r="56" spans="1:5" x14ac:dyDescent="0.3">
      <c r="A56" s="16" t="s">
        <v>728</v>
      </c>
      <c r="B56" s="1" t="s">
        <v>807</v>
      </c>
      <c r="C56" s="17" t="s">
        <v>895</v>
      </c>
      <c r="D56" s="17" t="s">
        <v>856</v>
      </c>
      <c r="E56" s="17" t="s">
        <v>802</v>
      </c>
    </row>
    <row r="57" spans="1:5" x14ac:dyDescent="0.3">
      <c r="A57" s="16" t="s">
        <v>730</v>
      </c>
      <c r="B57" s="1" t="s">
        <v>807</v>
      </c>
      <c r="C57" s="17" t="s">
        <v>896</v>
      </c>
      <c r="D57" s="17" t="s">
        <v>857</v>
      </c>
      <c r="E57" s="17" t="s">
        <v>803</v>
      </c>
    </row>
    <row r="58" spans="1:5" hidden="1" x14ac:dyDescent="0.3">
      <c r="A58" s="16" t="s">
        <v>750</v>
      </c>
      <c r="B58" s="1" t="s">
        <v>806</v>
      </c>
      <c r="C58" s="17" t="s">
        <v>884</v>
      </c>
      <c r="D58" s="17" t="s">
        <v>826</v>
      </c>
      <c r="E58" s="17" t="s">
        <v>804</v>
      </c>
    </row>
    <row r="59" spans="1:5" hidden="1" x14ac:dyDescent="0.3">
      <c r="A59" s="16" t="s">
        <v>751</v>
      </c>
      <c r="B59" s="1" t="s">
        <v>806</v>
      </c>
      <c r="C59" s="17" t="s">
        <v>884</v>
      </c>
      <c r="D59" s="17" t="s">
        <v>827</v>
      </c>
      <c r="E59" s="17" t="s">
        <v>805</v>
      </c>
    </row>
  </sheetData>
  <autoFilter ref="A1:E59" xr:uid="{2440F073-0142-4126-81FB-0C488F33E00A}">
    <filterColumn colId="1">
      <filters>
        <filter val="C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0DE7-8E92-4B2F-8B5B-28F351BE460B}">
  <dimension ref="A1:E19"/>
  <sheetViews>
    <sheetView workbookViewId="0">
      <selection activeCell="A11" sqref="A11"/>
    </sheetView>
  </sheetViews>
  <sheetFormatPr defaultRowHeight="16.5" x14ac:dyDescent="0.3"/>
  <cols>
    <col min="1" max="1" width="19.625" bestFit="1" customWidth="1"/>
    <col min="2" max="2" width="55.625" bestFit="1" customWidth="1"/>
    <col min="3" max="3" width="13.375" customWidth="1"/>
  </cols>
  <sheetData>
    <row r="1" spans="1:5" ht="17.25" x14ac:dyDescent="0.3">
      <c r="A1" s="25" t="s">
        <v>897</v>
      </c>
      <c r="B1" s="22" t="s">
        <v>898</v>
      </c>
      <c r="C1" s="23" t="s">
        <v>469</v>
      </c>
      <c r="D1" s="24" t="s">
        <v>381</v>
      </c>
    </row>
    <row r="2" spans="1:5" ht="17.25" x14ac:dyDescent="0.3">
      <c r="A2" s="18">
        <v>888</v>
      </c>
      <c r="B2" s="26" t="s">
        <v>899</v>
      </c>
      <c r="C2" s="19"/>
      <c r="D2" s="19"/>
      <c r="E2" s="16" t="s">
        <v>735</v>
      </c>
    </row>
    <row r="3" spans="1:5" ht="17.25" x14ac:dyDescent="0.3">
      <c r="A3" s="18">
        <v>90</v>
      </c>
      <c r="B3" s="26" t="s">
        <v>900</v>
      </c>
      <c r="C3" s="19" t="s">
        <v>736</v>
      </c>
      <c r="D3" s="19"/>
      <c r="E3" s="16" t="s">
        <v>736</v>
      </c>
    </row>
    <row r="4" spans="1:5" ht="17.25" x14ac:dyDescent="0.3">
      <c r="A4" s="18">
        <v>91</v>
      </c>
      <c r="B4" s="26" t="s">
        <v>901</v>
      </c>
      <c r="C4" s="19" t="s">
        <v>737</v>
      </c>
      <c r="D4" s="19"/>
      <c r="E4" s="16" t="s">
        <v>737</v>
      </c>
    </row>
    <row r="5" spans="1:5" ht="17.25" x14ac:dyDescent="0.3">
      <c r="A5" s="18">
        <v>95</v>
      </c>
      <c r="B5" s="26" t="s">
        <v>902</v>
      </c>
      <c r="C5" s="20" t="s">
        <v>644</v>
      </c>
      <c r="D5" s="20"/>
      <c r="E5" s="16" t="s">
        <v>644</v>
      </c>
    </row>
    <row r="6" spans="1:5" ht="17.25" x14ac:dyDescent="0.3">
      <c r="A6" s="18">
        <v>96</v>
      </c>
      <c r="B6" s="27" t="s">
        <v>903</v>
      </c>
      <c r="C6" s="19" t="s">
        <v>639</v>
      </c>
      <c r="D6" s="19"/>
      <c r="E6" s="16" t="s">
        <v>639</v>
      </c>
    </row>
    <row r="7" spans="1:5" ht="17.25" x14ac:dyDescent="0.3">
      <c r="A7" s="18">
        <v>111</v>
      </c>
      <c r="B7" s="26" t="s">
        <v>904</v>
      </c>
      <c r="C7" s="21" t="s">
        <v>668</v>
      </c>
      <c r="D7" s="21"/>
      <c r="E7" s="16" t="s">
        <v>668</v>
      </c>
    </row>
    <row r="8" spans="1:5" ht="17.25" x14ac:dyDescent="0.3">
      <c r="A8" s="18">
        <v>10</v>
      </c>
      <c r="B8" s="26" t="s">
        <v>905</v>
      </c>
      <c r="C8" s="21" t="s">
        <v>669</v>
      </c>
      <c r="D8" s="21"/>
      <c r="E8" s="16" t="s">
        <v>669</v>
      </c>
    </row>
    <row r="9" spans="1:5" ht="17.25" x14ac:dyDescent="0.3">
      <c r="A9" s="18">
        <v>20</v>
      </c>
      <c r="B9" s="26" t="s">
        <v>906</v>
      </c>
      <c r="C9" s="21" t="s">
        <v>670</v>
      </c>
      <c r="D9" s="21"/>
      <c r="E9" s="16" t="s">
        <v>670</v>
      </c>
    </row>
    <row r="10" spans="1:5" ht="17.25" x14ac:dyDescent="0.3">
      <c r="A10" s="18">
        <v>30</v>
      </c>
      <c r="B10" s="26" t="s">
        <v>907</v>
      </c>
      <c r="C10" s="21" t="s">
        <v>671</v>
      </c>
      <c r="D10" s="21"/>
      <c r="E10" s="16" t="s">
        <v>671</v>
      </c>
    </row>
    <row r="11" spans="1:5" ht="17.25" x14ac:dyDescent="0.3">
      <c r="A11" s="18">
        <v>50</v>
      </c>
      <c r="B11" s="28" t="s">
        <v>908</v>
      </c>
      <c r="C11" s="21" t="s">
        <v>672</v>
      </c>
      <c r="D11" s="19"/>
      <c r="E11" s="16" t="s">
        <v>672</v>
      </c>
    </row>
    <row r="12" spans="1:5" ht="17.25" x14ac:dyDescent="0.3">
      <c r="A12" s="18">
        <v>60</v>
      </c>
      <c r="B12" s="28" t="s">
        <v>909</v>
      </c>
      <c r="C12" s="21" t="s">
        <v>673</v>
      </c>
      <c r="D12" s="19"/>
      <c r="E12" s="16" t="s">
        <v>673</v>
      </c>
    </row>
    <row r="13" spans="1:5" ht="17.25" x14ac:dyDescent="0.3">
      <c r="A13" s="18">
        <v>70</v>
      </c>
      <c r="B13" s="28" t="s">
        <v>910</v>
      </c>
      <c r="C13" s="21" t="s">
        <v>674</v>
      </c>
      <c r="D13" s="19"/>
      <c r="E13" s="16" t="s">
        <v>674</v>
      </c>
    </row>
    <row r="14" spans="1:5" ht="17.25" x14ac:dyDescent="0.3">
      <c r="A14" s="18">
        <v>15</v>
      </c>
      <c r="B14" s="27" t="s">
        <v>911</v>
      </c>
      <c r="C14" s="21" t="s">
        <v>655</v>
      </c>
      <c r="D14" s="20"/>
      <c r="E14" s="16" t="s">
        <v>655</v>
      </c>
    </row>
    <row r="15" spans="1:5" ht="17.25" x14ac:dyDescent="0.3">
      <c r="A15" s="18">
        <v>16</v>
      </c>
      <c r="B15" s="27" t="s">
        <v>912</v>
      </c>
      <c r="C15" s="21" t="s">
        <v>656</v>
      </c>
      <c r="D15" s="19"/>
      <c r="E15" s="16" t="s">
        <v>656</v>
      </c>
    </row>
    <row r="16" spans="1:5" ht="17.25" x14ac:dyDescent="0.3">
      <c r="A16" s="18">
        <v>17</v>
      </c>
      <c r="B16" s="27" t="s">
        <v>913</v>
      </c>
      <c r="C16" s="21" t="s">
        <v>657</v>
      </c>
      <c r="D16" s="21"/>
      <c r="E16" s="16" t="s">
        <v>657</v>
      </c>
    </row>
    <row r="17" spans="1:5" ht="17.25" x14ac:dyDescent="0.3">
      <c r="A17" s="18">
        <v>222</v>
      </c>
      <c r="B17" s="27" t="s">
        <v>914</v>
      </c>
      <c r="C17" s="21" t="s">
        <v>675</v>
      </c>
      <c r="D17" s="21"/>
      <c r="E17" s="16" t="s">
        <v>675</v>
      </c>
    </row>
    <row r="18" spans="1:5" ht="17.25" x14ac:dyDescent="0.3">
      <c r="A18" s="18">
        <v>280</v>
      </c>
      <c r="B18" s="28" t="s">
        <v>915</v>
      </c>
      <c r="C18" s="21" t="s">
        <v>728</v>
      </c>
      <c r="D18" s="21"/>
      <c r="E18" s="16" t="s">
        <v>728</v>
      </c>
    </row>
    <row r="19" spans="1:5" ht="17.25" x14ac:dyDescent="0.3">
      <c r="A19" s="18">
        <v>118</v>
      </c>
      <c r="B19" s="29" t="s">
        <v>916</v>
      </c>
      <c r="C19" s="21" t="s">
        <v>730</v>
      </c>
      <c r="D19" s="21"/>
      <c r="E19" s="16" t="s">
        <v>730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6A0F-4593-4FC3-AA41-479BBABD4104}">
  <sheetPr filterMode="1"/>
  <dimension ref="A1:AF97"/>
  <sheetViews>
    <sheetView topLeftCell="A61" workbookViewId="0">
      <selection activeCell="F60" sqref="F60"/>
    </sheetView>
  </sheetViews>
  <sheetFormatPr defaultRowHeight="16.5" x14ac:dyDescent="0.3"/>
  <cols>
    <col min="4" max="4" width="4.875" bestFit="1" customWidth="1"/>
    <col min="6" max="6" width="15" bestFit="1" customWidth="1"/>
    <col min="7" max="8" width="13.25" customWidth="1"/>
    <col min="9" max="9" width="18.125" bestFit="1" customWidth="1"/>
    <col min="10" max="10" width="18.125" customWidth="1"/>
    <col min="11" max="11" width="18.125" bestFit="1" customWidth="1"/>
    <col min="23" max="23" width="18.125" bestFit="1" customWidth="1"/>
  </cols>
  <sheetData>
    <row r="1" spans="1:32" x14ac:dyDescent="0.3">
      <c r="A1" t="s">
        <v>33</v>
      </c>
      <c r="B1" t="s">
        <v>41</v>
      </c>
      <c r="C1" t="s">
        <v>1017</v>
      </c>
      <c r="D1" s="45" t="s">
        <v>1014</v>
      </c>
      <c r="E1" s="45"/>
      <c r="F1" s="45"/>
      <c r="G1" s="45"/>
      <c r="H1" s="1"/>
      <c r="I1" s="1"/>
      <c r="J1" s="1"/>
      <c r="K1" s="45" t="s">
        <v>1015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1"/>
      <c r="W1" s="45" t="s">
        <v>1016</v>
      </c>
      <c r="X1" s="45"/>
      <c r="Y1" s="45"/>
      <c r="Z1" s="45"/>
      <c r="AA1" s="45"/>
      <c r="AB1" s="45"/>
      <c r="AC1" s="45"/>
      <c r="AD1" s="45"/>
      <c r="AE1" s="45"/>
      <c r="AF1" s="45"/>
    </row>
    <row r="2" spans="1:32" x14ac:dyDescent="0.3">
      <c r="A2" s="1" t="str">
        <f>VLOOKUP(G2,$U$2:$AF$93,2,0)</f>
        <v>Used</v>
      </c>
      <c r="B2" t="str">
        <f>VLOOKUP(G2,$U$2:$AF$93,2,0)</f>
        <v>Used</v>
      </c>
      <c r="C2" t="str">
        <f>VLOOKUP(G2,$I$2:$T$93,2,0)</f>
        <v>Used</v>
      </c>
      <c r="D2">
        <v>7001</v>
      </c>
      <c r="E2" s="16" t="s">
        <v>646</v>
      </c>
      <c r="F2" t="s">
        <v>552</v>
      </c>
      <c r="G2">
        <f>D2-1</f>
        <v>7000</v>
      </c>
      <c r="I2">
        <f>R2</f>
        <v>7000</v>
      </c>
      <c r="J2" t="s">
        <v>1018</v>
      </c>
      <c r="K2" s="30" t="s">
        <v>923</v>
      </c>
      <c r="L2" s="30">
        <v>0</v>
      </c>
      <c r="M2" s="30" t="s">
        <v>380</v>
      </c>
      <c r="N2" s="30" t="s">
        <v>381</v>
      </c>
      <c r="O2" s="30">
        <v>1E-3</v>
      </c>
      <c r="P2" s="30">
        <v>0</v>
      </c>
      <c r="Q2" s="30" t="s">
        <v>923</v>
      </c>
      <c r="R2" s="30">
        <v>7000</v>
      </c>
      <c r="S2" s="30">
        <v>3</v>
      </c>
      <c r="T2" s="30" t="s">
        <v>421</v>
      </c>
      <c r="U2">
        <f>AD2</f>
        <v>7000</v>
      </c>
      <c r="V2" t="s">
        <v>1018</v>
      </c>
      <c r="W2" s="30" t="s">
        <v>923</v>
      </c>
      <c r="X2" s="30">
        <v>0</v>
      </c>
      <c r="Y2" s="30" t="s">
        <v>380</v>
      </c>
      <c r="Z2" s="30" t="s">
        <v>381</v>
      </c>
      <c r="AA2" s="30">
        <v>1E-3</v>
      </c>
      <c r="AB2" s="30">
        <v>0</v>
      </c>
      <c r="AC2" s="30" t="s">
        <v>923</v>
      </c>
      <c r="AD2" s="30">
        <v>7000</v>
      </c>
      <c r="AE2" s="30">
        <v>3</v>
      </c>
      <c r="AF2" s="30" t="s">
        <v>421</v>
      </c>
    </row>
    <row r="3" spans="1:32" x14ac:dyDescent="0.3">
      <c r="A3" s="1" t="str">
        <f t="shared" ref="A3:A66" si="0">VLOOKUP(G3,$U$2:$AF$93,2,0)</f>
        <v>Used</v>
      </c>
      <c r="B3" t="str">
        <f t="shared" ref="B3:B66" si="1">VLOOKUP(G3,$U$2:$AF$93,2,0)</f>
        <v>Used</v>
      </c>
      <c r="C3" t="str">
        <f t="shared" ref="C3:C66" si="2">VLOOKUP(G3,$I$2:$T$93,2,0)</f>
        <v>Used</v>
      </c>
      <c r="D3">
        <v>7003</v>
      </c>
      <c r="E3" s="16" t="s">
        <v>647</v>
      </c>
      <c r="F3" t="s">
        <v>553</v>
      </c>
      <c r="G3">
        <f t="shared" ref="G3:G66" si="3">D3-1</f>
        <v>7002</v>
      </c>
      <c r="I3">
        <f t="shared" ref="I3:I66" si="4">R3</f>
        <v>7002</v>
      </c>
      <c r="J3" t="s">
        <v>1018</v>
      </c>
      <c r="K3" s="30" t="s">
        <v>924</v>
      </c>
      <c r="L3" s="30">
        <v>1</v>
      </c>
      <c r="M3" s="30" t="s">
        <v>380</v>
      </c>
      <c r="N3" s="30" t="s">
        <v>381</v>
      </c>
      <c r="O3" s="30">
        <v>1E-3</v>
      </c>
      <c r="P3" s="30">
        <v>0</v>
      </c>
      <c r="Q3" s="30" t="s">
        <v>924</v>
      </c>
      <c r="R3" s="30">
        <v>7002</v>
      </c>
      <c r="S3" s="30">
        <v>3</v>
      </c>
      <c r="T3" s="30" t="s">
        <v>421</v>
      </c>
      <c r="U3">
        <f t="shared" ref="U3:U66" si="5">AD3</f>
        <v>7002</v>
      </c>
      <c r="V3" t="s">
        <v>1018</v>
      </c>
      <c r="W3" s="30" t="s">
        <v>924</v>
      </c>
      <c r="X3" s="30">
        <v>1</v>
      </c>
      <c r="Y3" s="30" t="s">
        <v>380</v>
      </c>
      <c r="Z3" s="30" t="s">
        <v>381</v>
      </c>
      <c r="AA3" s="30">
        <v>1E-3</v>
      </c>
      <c r="AB3" s="30">
        <v>0</v>
      </c>
      <c r="AC3" s="30" t="s">
        <v>924</v>
      </c>
      <c r="AD3" s="30">
        <v>7002</v>
      </c>
      <c r="AE3" s="30">
        <v>3</v>
      </c>
      <c r="AF3" s="30" t="s">
        <v>421</v>
      </c>
    </row>
    <row r="4" spans="1:32" x14ac:dyDescent="0.3">
      <c r="A4" s="1" t="str">
        <f t="shared" si="0"/>
        <v>Used</v>
      </c>
      <c r="B4" t="str">
        <f t="shared" si="1"/>
        <v>Used</v>
      </c>
      <c r="C4" t="str">
        <f t="shared" si="2"/>
        <v>Used</v>
      </c>
      <c r="D4">
        <v>7005</v>
      </c>
      <c r="E4" s="16" t="s">
        <v>648</v>
      </c>
      <c r="F4" t="s">
        <v>554</v>
      </c>
      <c r="G4">
        <f t="shared" si="3"/>
        <v>7004</v>
      </c>
      <c r="I4">
        <f t="shared" si="4"/>
        <v>7004</v>
      </c>
      <c r="J4" t="s">
        <v>1018</v>
      </c>
      <c r="K4" s="30" t="s">
        <v>925</v>
      </c>
      <c r="L4" s="30">
        <v>2</v>
      </c>
      <c r="M4" s="30" t="s">
        <v>380</v>
      </c>
      <c r="N4" s="30" t="s">
        <v>381</v>
      </c>
      <c r="O4" s="30">
        <v>1E-3</v>
      </c>
      <c r="P4" s="30">
        <v>0</v>
      </c>
      <c r="Q4" s="30" t="s">
        <v>925</v>
      </c>
      <c r="R4" s="30">
        <v>7004</v>
      </c>
      <c r="S4" s="30">
        <v>3</v>
      </c>
      <c r="T4" s="30" t="s">
        <v>421</v>
      </c>
      <c r="U4">
        <f t="shared" si="5"/>
        <v>7004</v>
      </c>
      <c r="V4" t="s">
        <v>1018</v>
      </c>
      <c r="W4" s="30" t="s">
        <v>925</v>
      </c>
      <c r="X4" s="30">
        <v>2</v>
      </c>
      <c r="Y4" s="30" t="s">
        <v>380</v>
      </c>
      <c r="Z4" s="30" t="s">
        <v>381</v>
      </c>
      <c r="AA4" s="30">
        <v>1E-3</v>
      </c>
      <c r="AB4" s="30">
        <v>0</v>
      </c>
      <c r="AC4" s="30" t="s">
        <v>925</v>
      </c>
      <c r="AD4" s="30">
        <v>7004</v>
      </c>
      <c r="AE4" s="30">
        <v>3</v>
      </c>
      <c r="AF4" s="30" t="s">
        <v>421</v>
      </c>
    </row>
    <row r="5" spans="1:32" x14ac:dyDescent="0.3">
      <c r="A5" s="1" t="str">
        <f t="shared" si="0"/>
        <v>Used</v>
      </c>
      <c r="B5" t="str">
        <f t="shared" si="1"/>
        <v>Used</v>
      </c>
      <c r="C5" t="str">
        <f t="shared" si="2"/>
        <v>Used</v>
      </c>
      <c r="D5">
        <v>7007</v>
      </c>
      <c r="E5" s="16" t="s">
        <v>649</v>
      </c>
      <c r="F5" t="s">
        <v>555</v>
      </c>
      <c r="G5">
        <f t="shared" si="3"/>
        <v>7006</v>
      </c>
      <c r="I5">
        <f t="shared" si="4"/>
        <v>7006</v>
      </c>
      <c r="J5" t="s">
        <v>1018</v>
      </c>
      <c r="K5" s="30" t="s">
        <v>926</v>
      </c>
      <c r="L5" s="30">
        <v>3</v>
      </c>
      <c r="M5" s="30" t="s">
        <v>380</v>
      </c>
      <c r="N5" s="30" t="s">
        <v>381</v>
      </c>
      <c r="O5" s="30">
        <v>1E-3</v>
      </c>
      <c r="P5" s="30">
        <v>0</v>
      </c>
      <c r="Q5" s="30" t="s">
        <v>926</v>
      </c>
      <c r="R5" s="30">
        <v>7006</v>
      </c>
      <c r="S5" s="30">
        <v>3</v>
      </c>
      <c r="T5" s="30" t="s">
        <v>421</v>
      </c>
      <c r="U5">
        <f t="shared" si="5"/>
        <v>7006</v>
      </c>
      <c r="V5" t="s">
        <v>1018</v>
      </c>
      <c r="W5" s="30" t="s">
        <v>926</v>
      </c>
      <c r="X5" s="30">
        <v>3</v>
      </c>
      <c r="Y5" s="30" t="s">
        <v>380</v>
      </c>
      <c r="Z5" s="30" t="s">
        <v>381</v>
      </c>
      <c r="AA5" s="30">
        <v>1E-3</v>
      </c>
      <c r="AB5" s="30">
        <v>0</v>
      </c>
      <c r="AC5" s="30" t="s">
        <v>926</v>
      </c>
      <c r="AD5" s="30">
        <v>7006</v>
      </c>
      <c r="AE5" s="30">
        <v>3</v>
      </c>
      <c r="AF5" s="30" t="s">
        <v>421</v>
      </c>
    </row>
    <row r="6" spans="1:32" x14ac:dyDescent="0.3">
      <c r="A6" s="1" t="str">
        <f t="shared" si="0"/>
        <v>Used</v>
      </c>
      <c r="B6" t="str">
        <f t="shared" si="1"/>
        <v>Used</v>
      </c>
      <c r="C6" t="str">
        <f t="shared" si="2"/>
        <v>Used</v>
      </c>
      <c r="D6">
        <v>7009</v>
      </c>
      <c r="E6" s="16" t="s">
        <v>650</v>
      </c>
      <c r="F6" t="s">
        <v>556</v>
      </c>
      <c r="G6">
        <f t="shared" si="3"/>
        <v>7008</v>
      </c>
      <c r="I6">
        <f t="shared" si="4"/>
        <v>7008</v>
      </c>
      <c r="J6" t="s">
        <v>1018</v>
      </c>
      <c r="K6" s="30" t="s">
        <v>927</v>
      </c>
      <c r="L6" s="30">
        <v>4</v>
      </c>
      <c r="M6" s="30" t="s">
        <v>380</v>
      </c>
      <c r="N6" s="30" t="s">
        <v>381</v>
      </c>
      <c r="O6" s="30">
        <v>1E-3</v>
      </c>
      <c r="P6" s="30">
        <v>0</v>
      </c>
      <c r="Q6" s="30" t="s">
        <v>927</v>
      </c>
      <c r="R6" s="30">
        <v>7008</v>
      </c>
      <c r="S6" s="30">
        <v>3</v>
      </c>
      <c r="T6" s="30" t="s">
        <v>421</v>
      </c>
      <c r="U6">
        <f t="shared" si="5"/>
        <v>7008</v>
      </c>
      <c r="V6" t="s">
        <v>1018</v>
      </c>
      <c r="W6" s="30" t="s">
        <v>927</v>
      </c>
      <c r="X6" s="30">
        <v>4</v>
      </c>
      <c r="Y6" s="30" t="s">
        <v>380</v>
      </c>
      <c r="Z6" s="30" t="s">
        <v>381</v>
      </c>
      <c r="AA6" s="30">
        <v>1E-3</v>
      </c>
      <c r="AB6" s="30">
        <v>0</v>
      </c>
      <c r="AC6" s="30" t="s">
        <v>927</v>
      </c>
      <c r="AD6" s="30">
        <v>7008</v>
      </c>
      <c r="AE6" s="30">
        <v>3</v>
      </c>
      <c r="AF6" s="30" t="s">
        <v>421</v>
      </c>
    </row>
    <row r="7" spans="1:32" x14ac:dyDescent="0.3">
      <c r="A7" s="1" t="str">
        <f t="shared" si="0"/>
        <v>Used</v>
      </c>
      <c r="B7" t="str">
        <f t="shared" si="1"/>
        <v>Used</v>
      </c>
      <c r="C7" t="str">
        <f t="shared" si="2"/>
        <v>Used</v>
      </c>
      <c r="D7">
        <v>7011</v>
      </c>
      <c r="E7" s="16" t="s">
        <v>651</v>
      </c>
      <c r="F7" t="s">
        <v>557</v>
      </c>
      <c r="G7">
        <f t="shared" si="3"/>
        <v>7010</v>
      </c>
      <c r="I7">
        <f t="shared" si="4"/>
        <v>7010</v>
      </c>
      <c r="J7" t="s">
        <v>1018</v>
      </c>
      <c r="K7" s="30" t="s">
        <v>928</v>
      </c>
      <c r="L7" s="30">
        <v>5</v>
      </c>
      <c r="M7" s="30" t="s">
        <v>380</v>
      </c>
      <c r="N7" s="30" t="s">
        <v>381</v>
      </c>
      <c r="O7" s="30">
        <v>1E-3</v>
      </c>
      <c r="P7" s="30">
        <v>0</v>
      </c>
      <c r="Q7" s="30" t="s">
        <v>928</v>
      </c>
      <c r="R7" s="30">
        <v>7010</v>
      </c>
      <c r="S7" s="30">
        <v>3</v>
      </c>
      <c r="T7" s="30" t="s">
        <v>421</v>
      </c>
      <c r="U7">
        <f t="shared" si="5"/>
        <v>7010</v>
      </c>
      <c r="V7" t="s">
        <v>1018</v>
      </c>
      <c r="W7" s="30" t="s">
        <v>928</v>
      </c>
      <c r="X7" s="30">
        <v>5</v>
      </c>
      <c r="Y7" s="30" t="s">
        <v>380</v>
      </c>
      <c r="Z7" s="30" t="s">
        <v>381</v>
      </c>
      <c r="AA7" s="30">
        <v>1E-3</v>
      </c>
      <c r="AB7" s="30">
        <v>0</v>
      </c>
      <c r="AC7" s="30" t="s">
        <v>928</v>
      </c>
      <c r="AD7" s="30">
        <v>7010</v>
      </c>
      <c r="AE7" s="30">
        <v>3</v>
      </c>
      <c r="AF7" s="30" t="s">
        <v>421</v>
      </c>
    </row>
    <row r="8" spans="1:32" hidden="1" x14ac:dyDescent="0.3">
      <c r="A8" s="1">
        <f t="shared" si="0"/>
        <v>0</v>
      </c>
      <c r="B8">
        <f t="shared" si="1"/>
        <v>0</v>
      </c>
      <c r="C8">
        <f t="shared" si="2"/>
        <v>0</v>
      </c>
      <c r="D8">
        <v>7013</v>
      </c>
      <c r="E8" s="16" t="s">
        <v>652</v>
      </c>
      <c r="F8" t="s">
        <v>558</v>
      </c>
      <c r="G8">
        <f t="shared" si="3"/>
        <v>7012</v>
      </c>
      <c r="I8">
        <f t="shared" si="4"/>
        <v>7012</v>
      </c>
      <c r="K8" t="s">
        <v>929</v>
      </c>
      <c r="L8">
        <v>6</v>
      </c>
      <c r="M8" t="s">
        <v>380</v>
      </c>
      <c r="N8" t="s">
        <v>381</v>
      </c>
      <c r="O8">
        <v>1E-3</v>
      </c>
      <c r="P8">
        <v>0</v>
      </c>
      <c r="Q8" t="s">
        <v>929</v>
      </c>
      <c r="R8">
        <v>7012</v>
      </c>
      <c r="S8">
        <v>3</v>
      </c>
      <c r="T8" t="s">
        <v>421</v>
      </c>
      <c r="U8">
        <f t="shared" si="5"/>
        <v>7012</v>
      </c>
      <c r="W8" t="s">
        <v>929</v>
      </c>
      <c r="X8">
        <v>6</v>
      </c>
      <c r="Y8" t="s">
        <v>380</v>
      </c>
      <c r="Z8" t="s">
        <v>381</v>
      </c>
      <c r="AA8">
        <v>1E-3</v>
      </c>
      <c r="AB8">
        <v>0</v>
      </c>
      <c r="AC8" t="s">
        <v>929</v>
      </c>
      <c r="AD8">
        <v>7012</v>
      </c>
      <c r="AE8">
        <v>3</v>
      </c>
      <c r="AF8" t="s">
        <v>421</v>
      </c>
    </row>
    <row r="9" spans="1:32" hidden="1" x14ac:dyDescent="0.3">
      <c r="A9" s="1">
        <f t="shared" si="0"/>
        <v>0</v>
      </c>
      <c r="B9">
        <f t="shared" si="1"/>
        <v>0</v>
      </c>
      <c r="C9">
        <f t="shared" si="2"/>
        <v>0</v>
      </c>
      <c r="D9">
        <v>7015</v>
      </c>
      <c r="E9" s="16" t="s">
        <v>653</v>
      </c>
      <c r="F9" t="s">
        <v>559</v>
      </c>
      <c r="G9">
        <f t="shared" si="3"/>
        <v>7014</v>
      </c>
      <c r="I9">
        <f t="shared" si="4"/>
        <v>7014</v>
      </c>
      <c r="K9" t="s">
        <v>930</v>
      </c>
      <c r="L9">
        <v>7</v>
      </c>
      <c r="M9" t="s">
        <v>380</v>
      </c>
      <c r="N9" t="s">
        <v>381</v>
      </c>
      <c r="O9">
        <v>1E-3</v>
      </c>
      <c r="P9">
        <v>0</v>
      </c>
      <c r="Q9" t="s">
        <v>930</v>
      </c>
      <c r="R9">
        <v>7014</v>
      </c>
      <c r="S9">
        <v>3</v>
      </c>
      <c r="T9" t="s">
        <v>421</v>
      </c>
      <c r="U9">
        <f t="shared" si="5"/>
        <v>7014</v>
      </c>
      <c r="W9" t="s">
        <v>930</v>
      </c>
      <c r="X9">
        <v>7</v>
      </c>
      <c r="Y9" t="s">
        <v>380</v>
      </c>
      <c r="Z9" t="s">
        <v>381</v>
      </c>
      <c r="AA9">
        <v>1E-3</v>
      </c>
      <c r="AB9">
        <v>0</v>
      </c>
      <c r="AC9" t="s">
        <v>930</v>
      </c>
      <c r="AD9">
        <v>7014</v>
      </c>
      <c r="AE9">
        <v>3</v>
      </c>
      <c r="AF9" t="s">
        <v>421</v>
      </c>
    </row>
    <row r="10" spans="1:32" hidden="1" x14ac:dyDescent="0.3">
      <c r="A10" s="1">
        <f t="shared" si="0"/>
        <v>0</v>
      </c>
      <c r="B10">
        <f t="shared" si="1"/>
        <v>0</v>
      </c>
      <c r="C10">
        <f t="shared" si="2"/>
        <v>0</v>
      </c>
      <c r="D10">
        <v>7017</v>
      </c>
      <c r="E10" s="16" t="s">
        <v>654</v>
      </c>
      <c r="F10" t="s">
        <v>560</v>
      </c>
      <c r="G10">
        <f t="shared" si="3"/>
        <v>7016</v>
      </c>
      <c r="I10">
        <f t="shared" si="4"/>
        <v>7016</v>
      </c>
      <c r="K10" t="s">
        <v>931</v>
      </c>
      <c r="L10">
        <v>8</v>
      </c>
      <c r="M10" t="s">
        <v>380</v>
      </c>
      <c r="N10" t="s">
        <v>381</v>
      </c>
      <c r="O10">
        <v>1E-3</v>
      </c>
      <c r="P10">
        <v>0</v>
      </c>
      <c r="Q10" t="s">
        <v>931</v>
      </c>
      <c r="R10">
        <v>7016</v>
      </c>
      <c r="S10">
        <v>3</v>
      </c>
      <c r="T10" t="s">
        <v>421</v>
      </c>
      <c r="U10">
        <f t="shared" si="5"/>
        <v>7016</v>
      </c>
      <c r="W10" t="s">
        <v>931</v>
      </c>
      <c r="X10">
        <v>8</v>
      </c>
      <c r="Y10" t="s">
        <v>380</v>
      </c>
      <c r="Z10" t="s">
        <v>381</v>
      </c>
      <c r="AA10">
        <v>1E-3</v>
      </c>
      <c r="AB10">
        <v>0</v>
      </c>
      <c r="AC10" t="s">
        <v>931</v>
      </c>
      <c r="AD10">
        <v>7016</v>
      </c>
      <c r="AE10">
        <v>3</v>
      </c>
      <c r="AF10" t="s">
        <v>421</v>
      </c>
    </row>
    <row r="11" spans="1:32" hidden="1" x14ac:dyDescent="0.3">
      <c r="A11" s="1">
        <f t="shared" si="0"/>
        <v>0</v>
      </c>
      <c r="B11">
        <f t="shared" si="1"/>
        <v>0</v>
      </c>
      <c r="C11">
        <f t="shared" si="2"/>
        <v>0</v>
      </c>
      <c r="D11">
        <v>7019</v>
      </c>
      <c r="E11" s="16" t="s">
        <v>655</v>
      </c>
      <c r="F11" t="s">
        <v>561</v>
      </c>
      <c r="G11">
        <f t="shared" si="3"/>
        <v>7018</v>
      </c>
      <c r="I11">
        <f t="shared" si="4"/>
        <v>7018</v>
      </c>
      <c r="K11" t="s">
        <v>932</v>
      </c>
      <c r="L11">
        <v>9</v>
      </c>
      <c r="M11" t="s">
        <v>380</v>
      </c>
      <c r="N11" t="s">
        <v>381</v>
      </c>
      <c r="O11">
        <v>1E-3</v>
      </c>
      <c r="P11">
        <v>0</v>
      </c>
      <c r="Q11" t="s">
        <v>932</v>
      </c>
      <c r="R11">
        <v>7018</v>
      </c>
      <c r="S11">
        <v>3</v>
      </c>
      <c r="T11" t="s">
        <v>421</v>
      </c>
      <c r="U11">
        <f t="shared" si="5"/>
        <v>7018</v>
      </c>
      <c r="W11" t="s">
        <v>932</v>
      </c>
      <c r="X11">
        <v>9</v>
      </c>
      <c r="Y11" t="s">
        <v>380</v>
      </c>
      <c r="Z11" t="s">
        <v>381</v>
      </c>
      <c r="AA11">
        <v>1E-3</v>
      </c>
      <c r="AB11">
        <v>0</v>
      </c>
      <c r="AC11" t="s">
        <v>932</v>
      </c>
      <c r="AD11">
        <v>7018</v>
      </c>
      <c r="AE11">
        <v>3</v>
      </c>
      <c r="AF11" t="s">
        <v>421</v>
      </c>
    </row>
    <row r="12" spans="1:32" hidden="1" x14ac:dyDescent="0.3">
      <c r="A12" s="1">
        <f t="shared" si="0"/>
        <v>0</v>
      </c>
      <c r="B12">
        <f t="shared" si="1"/>
        <v>0</v>
      </c>
      <c r="C12">
        <f t="shared" si="2"/>
        <v>0</v>
      </c>
      <c r="D12">
        <v>7021</v>
      </c>
      <c r="E12" s="16" t="s">
        <v>656</v>
      </c>
      <c r="F12" t="s">
        <v>562</v>
      </c>
      <c r="G12">
        <f t="shared" si="3"/>
        <v>7020</v>
      </c>
      <c r="I12">
        <f t="shared" si="4"/>
        <v>7020</v>
      </c>
      <c r="K12" t="s">
        <v>933</v>
      </c>
      <c r="L12">
        <v>10</v>
      </c>
      <c r="M12" t="s">
        <v>380</v>
      </c>
      <c r="N12" t="s">
        <v>381</v>
      </c>
      <c r="O12">
        <v>1E-3</v>
      </c>
      <c r="P12">
        <v>0</v>
      </c>
      <c r="Q12" t="s">
        <v>933</v>
      </c>
      <c r="R12">
        <v>7020</v>
      </c>
      <c r="S12">
        <v>3</v>
      </c>
      <c r="T12" t="s">
        <v>421</v>
      </c>
      <c r="U12">
        <f t="shared" si="5"/>
        <v>7020</v>
      </c>
      <c r="W12" t="s">
        <v>933</v>
      </c>
      <c r="X12">
        <v>10</v>
      </c>
      <c r="Y12" t="s">
        <v>380</v>
      </c>
      <c r="Z12" t="s">
        <v>381</v>
      </c>
      <c r="AA12">
        <v>1E-3</v>
      </c>
      <c r="AB12">
        <v>0</v>
      </c>
      <c r="AC12" t="s">
        <v>933</v>
      </c>
      <c r="AD12">
        <v>7020</v>
      </c>
      <c r="AE12">
        <v>3</v>
      </c>
      <c r="AF12" t="s">
        <v>421</v>
      </c>
    </row>
    <row r="13" spans="1:32" hidden="1" x14ac:dyDescent="0.3">
      <c r="A13" s="1">
        <f t="shared" si="0"/>
        <v>0</v>
      </c>
      <c r="B13">
        <f t="shared" si="1"/>
        <v>0</v>
      </c>
      <c r="C13">
        <f t="shared" si="2"/>
        <v>0</v>
      </c>
      <c r="D13">
        <v>7023</v>
      </c>
      <c r="E13" s="16" t="s">
        <v>657</v>
      </c>
      <c r="F13" t="s">
        <v>563</v>
      </c>
      <c r="G13">
        <f t="shared" si="3"/>
        <v>7022</v>
      </c>
      <c r="I13">
        <f t="shared" si="4"/>
        <v>7022</v>
      </c>
      <c r="K13" t="s">
        <v>934</v>
      </c>
      <c r="L13">
        <v>11</v>
      </c>
      <c r="M13" t="s">
        <v>380</v>
      </c>
      <c r="N13" t="s">
        <v>381</v>
      </c>
      <c r="O13">
        <v>1E-3</v>
      </c>
      <c r="P13">
        <v>0</v>
      </c>
      <c r="Q13" t="s">
        <v>934</v>
      </c>
      <c r="R13">
        <v>7022</v>
      </c>
      <c r="S13">
        <v>3</v>
      </c>
      <c r="T13" t="s">
        <v>421</v>
      </c>
      <c r="U13">
        <f t="shared" si="5"/>
        <v>7022</v>
      </c>
      <c r="W13" t="s">
        <v>934</v>
      </c>
      <c r="X13">
        <v>11</v>
      </c>
      <c r="Y13" t="s">
        <v>380</v>
      </c>
      <c r="Z13" t="s">
        <v>381</v>
      </c>
      <c r="AA13">
        <v>1E-3</v>
      </c>
      <c r="AB13">
        <v>0</v>
      </c>
      <c r="AC13" t="s">
        <v>934</v>
      </c>
      <c r="AD13">
        <v>7022</v>
      </c>
      <c r="AE13">
        <v>3</v>
      </c>
      <c r="AF13" t="s">
        <v>421</v>
      </c>
    </row>
    <row r="14" spans="1:32" x14ac:dyDescent="0.3">
      <c r="A14" s="1" t="str">
        <f t="shared" si="0"/>
        <v>Used</v>
      </c>
      <c r="B14" t="str">
        <f t="shared" si="1"/>
        <v>Used</v>
      </c>
      <c r="C14" t="str">
        <f t="shared" si="2"/>
        <v>Used</v>
      </c>
      <c r="D14">
        <v>7025</v>
      </c>
      <c r="E14" s="16" t="s">
        <v>658</v>
      </c>
      <c r="F14" t="s">
        <v>564</v>
      </c>
      <c r="G14">
        <f t="shared" si="3"/>
        <v>7024</v>
      </c>
      <c r="I14">
        <f t="shared" si="4"/>
        <v>7024</v>
      </c>
      <c r="J14" t="s">
        <v>1018</v>
      </c>
      <c r="K14" s="30" t="s">
        <v>935</v>
      </c>
      <c r="L14" s="30">
        <v>12</v>
      </c>
      <c r="M14" s="30" t="s">
        <v>380</v>
      </c>
      <c r="N14" s="30" t="s">
        <v>381</v>
      </c>
      <c r="O14" s="30">
        <v>1E-3</v>
      </c>
      <c r="P14" s="30">
        <v>0</v>
      </c>
      <c r="Q14" s="30" t="s">
        <v>935</v>
      </c>
      <c r="R14" s="30">
        <v>7024</v>
      </c>
      <c r="S14" s="30">
        <v>3</v>
      </c>
      <c r="T14" s="30" t="s">
        <v>421</v>
      </c>
      <c r="U14">
        <f t="shared" si="5"/>
        <v>7024</v>
      </c>
      <c r="V14" t="s">
        <v>1018</v>
      </c>
      <c r="W14" s="30" t="s">
        <v>935</v>
      </c>
      <c r="X14" s="30">
        <v>12</v>
      </c>
      <c r="Y14" s="30" t="s">
        <v>380</v>
      </c>
      <c r="Z14" s="30" t="s">
        <v>381</v>
      </c>
      <c r="AA14" s="30">
        <v>1E-3</v>
      </c>
      <c r="AB14" s="30">
        <v>0</v>
      </c>
      <c r="AC14" s="30" t="s">
        <v>935</v>
      </c>
      <c r="AD14" s="30">
        <v>7024</v>
      </c>
      <c r="AE14" s="30">
        <v>3</v>
      </c>
      <c r="AF14" s="30" t="s">
        <v>421</v>
      </c>
    </row>
    <row r="15" spans="1:32" hidden="1" x14ac:dyDescent="0.3">
      <c r="A15" s="1">
        <f t="shared" si="0"/>
        <v>0</v>
      </c>
      <c r="B15">
        <f t="shared" si="1"/>
        <v>0</v>
      </c>
      <c r="C15">
        <f t="shared" si="2"/>
        <v>0</v>
      </c>
      <c r="D15">
        <v>7027</v>
      </c>
      <c r="E15" s="16" t="s">
        <v>659</v>
      </c>
      <c r="F15" t="s">
        <v>565</v>
      </c>
      <c r="G15">
        <f t="shared" si="3"/>
        <v>7026</v>
      </c>
      <c r="I15">
        <f t="shared" si="4"/>
        <v>7026</v>
      </c>
      <c r="K15" t="s">
        <v>936</v>
      </c>
      <c r="L15">
        <v>13</v>
      </c>
      <c r="M15" t="s">
        <v>380</v>
      </c>
      <c r="N15" t="s">
        <v>381</v>
      </c>
      <c r="O15">
        <v>1E-3</v>
      </c>
      <c r="P15">
        <v>0</v>
      </c>
      <c r="Q15" t="s">
        <v>936</v>
      </c>
      <c r="R15">
        <v>7026</v>
      </c>
      <c r="S15">
        <v>3</v>
      </c>
      <c r="T15" t="s">
        <v>421</v>
      </c>
      <c r="U15">
        <f t="shared" si="5"/>
        <v>7026</v>
      </c>
      <c r="W15" t="s">
        <v>936</v>
      </c>
      <c r="X15">
        <v>13</v>
      </c>
      <c r="Y15" t="s">
        <v>380</v>
      </c>
      <c r="Z15" t="s">
        <v>381</v>
      </c>
      <c r="AA15">
        <v>1E-3</v>
      </c>
      <c r="AB15">
        <v>0</v>
      </c>
      <c r="AC15" t="s">
        <v>936</v>
      </c>
      <c r="AD15">
        <v>7026</v>
      </c>
      <c r="AE15">
        <v>3</v>
      </c>
      <c r="AF15" t="s">
        <v>421</v>
      </c>
    </row>
    <row r="16" spans="1:32" hidden="1" x14ac:dyDescent="0.3">
      <c r="A16" s="1">
        <f t="shared" si="0"/>
        <v>0</v>
      </c>
      <c r="B16">
        <f t="shared" si="1"/>
        <v>0</v>
      </c>
      <c r="C16">
        <f t="shared" si="2"/>
        <v>0</v>
      </c>
      <c r="D16">
        <v>7029</v>
      </c>
      <c r="E16" s="16" t="s">
        <v>660</v>
      </c>
      <c r="F16" t="s">
        <v>566</v>
      </c>
      <c r="G16">
        <f t="shared" si="3"/>
        <v>7028</v>
      </c>
      <c r="I16">
        <f t="shared" si="4"/>
        <v>7028</v>
      </c>
      <c r="K16" t="s">
        <v>937</v>
      </c>
      <c r="L16">
        <v>14</v>
      </c>
      <c r="M16" t="s">
        <v>380</v>
      </c>
      <c r="N16" t="s">
        <v>381</v>
      </c>
      <c r="O16">
        <v>1E-3</v>
      </c>
      <c r="P16">
        <v>0</v>
      </c>
      <c r="Q16" t="s">
        <v>937</v>
      </c>
      <c r="R16">
        <v>7028</v>
      </c>
      <c r="S16">
        <v>3</v>
      </c>
      <c r="T16" t="s">
        <v>421</v>
      </c>
      <c r="U16">
        <f t="shared" si="5"/>
        <v>7028</v>
      </c>
      <c r="W16" t="s">
        <v>937</v>
      </c>
      <c r="X16">
        <v>14</v>
      </c>
      <c r="Y16" t="s">
        <v>380</v>
      </c>
      <c r="Z16" t="s">
        <v>381</v>
      </c>
      <c r="AA16">
        <v>1E-3</v>
      </c>
      <c r="AB16">
        <v>0</v>
      </c>
      <c r="AC16" t="s">
        <v>937</v>
      </c>
      <c r="AD16">
        <v>7028</v>
      </c>
      <c r="AE16">
        <v>3</v>
      </c>
      <c r="AF16" t="s">
        <v>421</v>
      </c>
    </row>
    <row r="17" spans="1:32" hidden="1" x14ac:dyDescent="0.3">
      <c r="A17" s="1">
        <f t="shared" si="0"/>
        <v>0</v>
      </c>
      <c r="B17">
        <f t="shared" si="1"/>
        <v>0</v>
      </c>
      <c r="C17">
        <f t="shared" si="2"/>
        <v>0</v>
      </c>
      <c r="D17">
        <v>7031</v>
      </c>
      <c r="E17" s="16" t="s">
        <v>661</v>
      </c>
      <c r="F17" t="s">
        <v>567</v>
      </c>
      <c r="G17">
        <f t="shared" si="3"/>
        <v>7030</v>
      </c>
      <c r="I17">
        <f t="shared" si="4"/>
        <v>7030</v>
      </c>
      <c r="K17" t="s">
        <v>938</v>
      </c>
      <c r="L17">
        <v>15</v>
      </c>
      <c r="M17" t="s">
        <v>380</v>
      </c>
      <c r="N17" t="s">
        <v>381</v>
      </c>
      <c r="O17">
        <v>1E-3</v>
      </c>
      <c r="P17">
        <v>0</v>
      </c>
      <c r="Q17" t="s">
        <v>938</v>
      </c>
      <c r="R17">
        <v>7030</v>
      </c>
      <c r="S17">
        <v>3</v>
      </c>
      <c r="T17" t="s">
        <v>421</v>
      </c>
      <c r="U17">
        <f t="shared" si="5"/>
        <v>7030</v>
      </c>
      <c r="W17" t="s">
        <v>938</v>
      </c>
      <c r="X17">
        <v>15</v>
      </c>
      <c r="Y17" t="s">
        <v>380</v>
      </c>
      <c r="Z17" t="s">
        <v>381</v>
      </c>
      <c r="AA17">
        <v>1E-3</v>
      </c>
      <c r="AB17">
        <v>0</v>
      </c>
      <c r="AC17" t="s">
        <v>938</v>
      </c>
      <c r="AD17">
        <v>7030</v>
      </c>
      <c r="AE17">
        <v>3</v>
      </c>
      <c r="AF17" t="s">
        <v>421</v>
      </c>
    </row>
    <row r="18" spans="1:32" hidden="1" x14ac:dyDescent="0.3">
      <c r="A18" s="1">
        <f t="shared" si="0"/>
        <v>0</v>
      </c>
      <c r="B18">
        <f t="shared" si="1"/>
        <v>0</v>
      </c>
      <c r="C18">
        <f t="shared" si="2"/>
        <v>0</v>
      </c>
      <c r="D18">
        <v>7033</v>
      </c>
      <c r="E18" s="16" t="s">
        <v>662</v>
      </c>
      <c r="F18" t="s">
        <v>568</v>
      </c>
      <c r="G18">
        <f t="shared" si="3"/>
        <v>7032</v>
      </c>
      <c r="I18">
        <f t="shared" si="4"/>
        <v>7032</v>
      </c>
      <c r="K18" t="s">
        <v>939</v>
      </c>
      <c r="L18">
        <v>16</v>
      </c>
      <c r="M18" t="s">
        <v>380</v>
      </c>
      <c r="N18" t="s">
        <v>381</v>
      </c>
      <c r="O18">
        <v>1E-3</v>
      </c>
      <c r="P18">
        <v>0</v>
      </c>
      <c r="Q18" t="s">
        <v>939</v>
      </c>
      <c r="R18">
        <v>7032</v>
      </c>
      <c r="S18">
        <v>3</v>
      </c>
      <c r="T18" t="s">
        <v>421</v>
      </c>
      <c r="U18">
        <f t="shared" si="5"/>
        <v>7032</v>
      </c>
      <c r="W18" t="s">
        <v>939</v>
      </c>
      <c r="X18">
        <v>16</v>
      </c>
      <c r="Y18" t="s">
        <v>380</v>
      </c>
      <c r="Z18" t="s">
        <v>381</v>
      </c>
      <c r="AA18">
        <v>1E-3</v>
      </c>
      <c r="AB18">
        <v>0</v>
      </c>
      <c r="AC18" t="s">
        <v>939</v>
      </c>
      <c r="AD18">
        <v>7032</v>
      </c>
      <c r="AE18">
        <v>3</v>
      </c>
      <c r="AF18" t="s">
        <v>421</v>
      </c>
    </row>
    <row r="19" spans="1:32" hidden="1" x14ac:dyDescent="0.3">
      <c r="A19" s="1">
        <f t="shared" si="0"/>
        <v>0</v>
      </c>
      <c r="B19">
        <f t="shared" si="1"/>
        <v>0</v>
      </c>
      <c r="C19">
        <f t="shared" si="2"/>
        <v>0</v>
      </c>
      <c r="D19">
        <v>7035</v>
      </c>
      <c r="E19" s="16" t="s">
        <v>663</v>
      </c>
      <c r="F19" t="s">
        <v>569</v>
      </c>
      <c r="G19">
        <f t="shared" si="3"/>
        <v>7034</v>
      </c>
      <c r="I19">
        <f t="shared" si="4"/>
        <v>7034</v>
      </c>
      <c r="K19" t="s">
        <v>940</v>
      </c>
      <c r="L19">
        <v>17</v>
      </c>
      <c r="M19" t="s">
        <v>380</v>
      </c>
      <c r="N19" t="s">
        <v>381</v>
      </c>
      <c r="O19">
        <v>1E-3</v>
      </c>
      <c r="P19">
        <v>0</v>
      </c>
      <c r="Q19" t="s">
        <v>940</v>
      </c>
      <c r="R19">
        <v>7034</v>
      </c>
      <c r="S19">
        <v>3</v>
      </c>
      <c r="T19" t="s">
        <v>421</v>
      </c>
      <c r="U19">
        <f t="shared" si="5"/>
        <v>7034</v>
      </c>
      <c r="W19" t="s">
        <v>940</v>
      </c>
      <c r="X19">
        <v>17</v>
      </c>
      <c r="Y19" t="s">
        <v>380</v>
      </c>
      <c r="Z19" t="s">
        <v>381</v>
      </c>
      <c r="AA19">
        <v>1E-3</v>
      </c>
      <c r="AB19">
        <v>0</v>
      </c>
      <c r="AC19" t="s">
        <v>940</v>
      </c>
      <c r="AD19">
        <v>7034</v>
      </c>
      <c r="AE19">
        <v>3</v>
      </c>
      <c r="AF19" t="s">
        <v>421</v>
      </c>
    </row>
    <row r="20" spans="1:32" hidden="1" x14ac:dyDescent="0.3">
      <c r="A20" s="1">
        <f t="shared" si="0"/>
        <v>0</v>
      </c>
      <c r="B20">
        <f t="shared" si="1"/>
        <v>0</v>
      </c>
      <c r="C20">
        <f t="shared" si="2"/>
        <v>0</v>
      </c>
      <c r="D20">
        <v>7037</v>
      </c>
      <c r="E20" s="16" t="s">
        <v>664</v>
      </c>
      <c r="F20" t="s">
        <v>570</v>
      </c>
      <c r="G20">
        <f t="shared" si="3"/>
        <v>7036</v>
      </c>
      <c r="I20">
        <f t="shared" si="4"/>
        <v>7036</v>
      </c>
      <c r="K20" t="s">
        <v>941</v>
      </c>
      <c r="L20">
        <v>18</v>
      </c>
      <c r="M20" t="s">
        <v>380</v>
      </c>
      <c r="N20" t="s">
        <v>381</v>
      </c>
      <c r="O20">
        <v>1E-3</v>
      </c>
      <c r="P20">
        <v>0</v>
      </c>
      <c r="Q20" t="s">
        <v>941</v>
      </c>
      <c r="R20">
        <v>7036</v>
      </c>
      <c r="S20">
        <v>3</v>
      </c>
      <c r="T20" t="s">
        <v>421</v>
      </c>
      <c r="U20">
        <f t="shared" si="5"/>
        <v>7036</v>
      </c>
      <c r="W20" t="s">
        <v>941</v>
      </c>
      <c r="X20">
        <v>18</v>
      </c>
      <c r="Y20" t="s">
        <v>380</v>
      </c>
      <c r="Z20" t="s">
        <v>381</v>
      </c>
      <c r="AA20">
        <v>1E-3</v>
      </c>
      <c r="AB20">
        <v>0</v>
      </c>
      <c r="AC20" t="s">
        <v>941</v>
      </c>
      <c r="AD20">
        <v>7036</v>
      </c>
      <c r="AE20">
        <v>3</v>
      </c>
      <c r="AF20" t="s">
        <v>421</v>
      </c>
    </row>
    <row r="21" spans="1:32" hidden="1" x14ac:dyDescent="0.3">
      <c r="A21" s="1">
        <f t="shared" si="0"/>
        <v>0</v>
      </c>
      <c r="B21">
        <f t="shared" si="1"/>
        <v>0</v>
      </c>
      <c r="C21">
        <f t="shared" si="2"/>
        <v>0</v>
      </c>
      <c r="D21">
        <v>7039</v>
      </c>
      <c r="E21" s="16" t="s">
        <v>665</v>
      </c>
      <c r="F21" t="s">
        <v>571</v>
      </c>
      <c r="G21">
        <f t="shared" si="3"/>
        <v>7038</v>
      </c>
      <c r="I21">
        <f t="shared" si="4"/>
        <v>7038</v>
      </c>
      <c r="K21" t="s">
        <v>942</v>
      </c>
      <c r="L21">
        <v>19</v>
      </c>
      <c r="M21" t="s">
        <v>380</v>
      </c>
      <c r="N21" t="s">
        <v>381</v>
      </c>
      <c r="O21">
        <v>1E-3</v>
      </c>
      <c r="P21">
        <v>0</v>
      </c>
      <c r="Q21" t="s">
        <v>942</v>
      </c>
      <c r="R21">
        <v>7038</v>
      </c>
      <c r="S21">
        <v>3</v>
      </c>
      <c r="T21" t="s">
        <v>421</v>
      </c>
      <c r="U21">
        <f t="shared" si="5"/>
        <v>7038</v>
      </c>
      <c r="W21" t="s">
        <v>942</v>
      </c>
      <c r="X21">
        <v>19</v>
      </c>
      <c r="Y21" t="s">
        <v>380</v>
      </c>
      <c r="Z21" t="s">
        <v>381</v>
      </c>
      <c r="AA21">
        <v>1E-3</v>
      </c>
      <c r="AB21">
        <v>0</v>
      </c>
      <c r="AC21" t="s">
        <v>942</v>
      </c>
      <c r="AD21">
        <v>7038</v>
      </c>
      <c r="AE21">
        <v>3</v>
      </c>
      <c r="AF21" t="s">
        <v>421</v>
      </c>
    </row>
    <row r="22" spans="1:32" hidden="1" x14ac:dyDescent="0.3">
      <c r="A22" s="1">
        <f t="shared" si="0"/>
        <v>0</v>
      </c>
      <c r="B22">
        <f t="shared" si="1"/>
        <v>0</v>
      </c>
      <c r="C22">
        <f t="shared" si="2"/>
        <v>0</v>
      </c>
      <c r="D22">
        <v>7041</v>
      </c>
      <c r="E22" s="16" t="s">
        <v>666</v>
      </c>
      <c r="F22" t="s">
        <v>572</v>
      </c>
      <c r="G22">
        <f t="shared" si="3"/>
        <v>7040</v>
      </c>
      <c r="I22">
        <f t="shared" si="4"/>
        <v>7040</v>
      </c>
      <c r="K22" t="s">
        <v>943</v>
      </c>
      <c r="L22">
        <v>20</v>
      </c>
      <c r="M22" t="s">
        <v>380</v>
      </c>
      <c r="N22" t="s">
        <v>381</v>
      </c>
      <c r="O22">
        <v>1E-3</v>
      </c>
      <c r="P22">
        <v>0</v>
      </c>
      <c r="Q22" t="s">
        <v>943</v>
      </c>
      <c r="R22">
        <v>7040</v>
      </c>
      <c r="S22">
        <v>3</v>
      </c>
      <c r="T22" t="s">
        <v>421</v>
      </c>
      <c r="U22">
        <f t="shared" si="5"/>
        <v>7040</v>
      </c>
      <c r="W22" t="s">
        <v>943</v>
      </c>
      <c r="X22">
        <v>20</v>
      </c>
      <c r="Y22" t="s">
        <v>380</v>
      </c>
      <c r="Z22" t="s">
        <v>381</v>
      </c>
      <c r="AA22">
        <v>1E-3</v>
      </c>
      <c r="AB22">
        <v>0</v>
      </c>
      <c r="AC22" t="s">
        <v>943</v>
      </c>
      <c r="AD22">
        <v>7040</v>
      </c>
      <c r="AE22">
        <v>3</v>
      </c>
      <c r="AF22" t="s">
        <v>421</v>
      </c>
    </row>
    <row r="23" spans="1:32" hidden="1" x14ac:dyDescent="0.3">
      <c r="A23" s="1">
        <f t="shared" si="0"/>
        <v>0</v>
      </c>
      <c r="B23">
        <f t="shared" si="1"/>
        <v>0</v>
      </c>
      <c r="C23">
        <f t="shared" si="2"/>
        <v>0</v>
      </c>
      <c r="D23">
        <v>7043</v>
      </c>
      <c r="E23" s="16" t="s">
        <v>667</v>
      </c>
      <c r="F23" t="s">
        <v>573</v>
      </c>
      <c r="G23">
        <f t="shared" si="3"/>
        <v>7042</v>
      </c>
      <c r="I23">
        <f t="shared" si="4"/>
        <v>7042</v>
      </c>
      <c r="K23" t="s">
        <v>944</v>
      </c>
      <c r="L23">
        <v>21</v>
      </c>
      <c r="M23" t="s">
        <v>380</v>
      </c>
      <c r="N23" t="s">
        <v>381</v>
      </c>
      <c r="O23">
        <v>1E-3</v>
      </c>
      <c r="P23">
        <v>0</v>
      </c>
      <c r="Q23" t="s">
        <v>944</v>
      </c>
      <c r="R23">
        <v>7042</v>
      </c>
      <c r="S23">
        <v>3</v>
      </c>
      <c r="T23" t="s">
        <v>421</v>
      </c>
      <c r="U23">
        <f t="shared" si="5"/>
        <v>7042</v>
      </c>
      <c r="W23" t="s">
        <v>944</v>
      </c>
      <c r="X23">
        <v>21</v>
      </c>
      <c r="Y23" t="s">
        <v>380</v>
      </c>
      <c r="Z23" t="s">
        <v>381</v>
      </c>
      <c r="AA23">
        <v>1E-3</v>
      </c>
      <c r="AB23">
        <v>0</v>
      </c>
      <c r="AC23" t="s">
        <v>944</v>
      </c>
      <c r="AD23">
        <v>7042</v>
      </c>
      <c r="AE23">
        <v>3</v>
      </c>
      <c r="AF23" t="s">
        <v>421</v>
      </c>
    </row>
    <row r="24" spans="1:32" x14ac:dyDescent="0.3">
      <c r="A24" s="1" t="str">
        <f t="shared" si="0"/>
        <v>Used</v>
      </c>
      <c r="B24" t="str">
        <f t="shared" si="1"/>
        <v>Used</v>
      </c>
      <c r="C24" t="str">
        <f t="shared" si="2"/>
        <v>Used</v>
      </c>
      <c r="D24">
        <v>7045</v>
      </c>
      <c r="E24" s="16" t="s">
        <v>668</v>
      </c>
      <c r="F24" t="s">
        <v>574</v>
      </c>
      <c r="G24">
        <f t="shared" si="3"/>
        <v>7044</v>
      </c>
      <c r="I24">
        <f t="shared" si="4"/>
        <v>7044</v>
      </c>
      <c r="J24" t="s">
        <v>1018</v>
      </c>
      <c r="K24" s="30" t="s">
        <v>945</v>
      </c>
      <c r="L24" s="30">
        <v>22</v>
      </c>
      <c r="M24" s="30" t="s">
        <v>380</v>
      </c>
      <c r="N24" s="30" t="s">
        <v>381</v>
      </c>
      <c r="O24" s="30">
        <v>1E-3</v>
      </c>
      <c r="P24" s="30">
        <v>0</v>
      </c>
      <c r="Q24" s="30" t="s">
        <v>945</v>
      </c>
      <c r="R24" s="30">
        <v>7044</v>
      </c>
      <c r="S24" s="30">
        <v>3</v>
      </c>
      <c r="T24" s="30" t="s">
        <v>421</v>
      </c>
      <c r="U24">
        <f t="shared" si="5"/>
        <v>7044</v>
      </c>
      <c r="V24" t="s">
        <v>1018</v>
      </c>
      <c r="W24" s="30" t="s">
        <v>945</v>
      </c>
      <c r="X24" s="30">
        <v>22</v>
      </c>
      <c r="Y24" s="30" t="s">
        <v>380</v>
      </c>
      <c r="Z24" s="30" t="s">
        <v>381</v>
      </c>
      <c r="AA24" s="30">
        <v>1E-3</v>
      </c>
      <c r="AB24" s="30">
        <v>0</v>
      </c>
      <c r="AC24" s="30" t="s">
        <v>945</v>
      </c>
      <c r="AD24" s="30">
        <v>7044</v>
      </c>
      <c r="AE24" s="30">
        <v>3</v>
      </c>
      <c r="AF24" s="30" t="s">
        <v>421</v>
      </c>
    </row>
    <row r="25" spans="1:32" x14ac:dyDescent="0.3">
      <c r="A25" s="1" t="str">
        <f t="shared" si="0"/>
        <v>Used</v>
      </c>
      <c r="B25" t="str">
        <f t="shared" si="1"/>
        <v>Used</v>
      </c>
      <c r="C25" t="str">
        <f t="shared" si="2"/>
        <v>Used</v>
      </c>
      <c r="D25">
        <v>7047</v>
      </c>
      <c r="E25" s="16" t="s">
        <v>669</v>
      </c>
      <c r="F25" t="s">
        <v>575</v>
      </c>
      <c r="G25">
        <f t="shared" si="3"/>
        <v>7046</v>
      </c>
      <c r="I25">
        <f t="shared" si="4"/>
        <v>7046</v>
      </c>
      <c r="J25" t="s">
        <v>1018</v>
      </c>
      <c r="K25" s="30" t="s">
        <v>946</v>
      </c>
      <c r="L25" s="30">
        <v>23</v>
      </c>
      <c r="M25" s="30" t="s">
        <v>380</v>
      </c>
      <c r="N25" s="30" t="s">
        <v>381</v>
      </c>
      <c r="O25" s="30">
        <v>1E-3</v>
      </c>
      <c r="P25" s="30">
        <v>0</v>
      </c>
      <c r="Q25" s="30" t="s">
        <v>946</v>
      </c>
      <c r="R25" s="30">
        <v>7046</v>
      </c>
      <c r="S25" s="30">
        <v>3</v>
      </c>
      <c r="T25" s="30" t="s">
        <v>421</v>
      </c>
      <c r="U25">
        <f t="shared" si="5"/>
        <v>7046</v>
      </c>
      <c r="V25" t="s">
        <v>1018</v>
      </c>
      <c r="W25" s="30" t="s">
        <v>946</v>
      </c>
      <c r="X25" s="30">
        <v>23</v>
      </c>
      <c r="Y25" s="30" t="s">
        <v>380</v>
      </c>
      <c r="Z25" s="30" t="s">
        <v>381</v>
      </c>
      <c r="AA25" s="30">
        <v>1E-3</v>
      </c>
      <c r="AB25" s="30">
        <v>0</v>
      </c>
      <c r="AC25" s="30" t="s">
        <v>946</v>
      </c>
      <c r="AD25" s="30">
        <v>7046</v>
      </c>
      <c r="AE25" s="30">
        <v>3</v>
      </c>
      <c r="AF25" s="30" t="s">
        <v>421</v>
      </c>
    </row>
    <row r="26" spans="1:32" x14ac:dyDescent="0.3">
      <c r="A26" s="1" t="str">
        <f t="shared" si="0"/>
        <v>Used</v>
      </c>
      <c r="B26" t="str">
        <f t="shared" si="1"/>
        <v>Used</v>
      </c>
      <c r="C26" t="str">
        <f t="shared" si="2"/>
        <v>Used</v>
      </c>
      <c r="D26">
        <v>7049</v>
      </c>
      <c r="E26" s="16" t="s">
        <v>670</v>
      </c>
      <c r="F26" t="s">
        <v>576</v>
      </c>
      <c r="G26">
        <f t="shared" si="3"/>
        <v>7048</v>
      </c>
      <c r="I26">
        <f t="shared" si="4"/>
        <v>7048</v>
      </c>
      <c r="J26" t="s">
        <v>1018</v>
      </c>
      <c r="K26" s="30" t="s">
        <v>947</v>
      </c>
      <c r="L26" s="30">
        <v>24</v>
      </c>
      <c r="M26" s="30" t="s">
        <v>380</v>
      </c>
      <c r="N26" s="30" t="s">
        <v>381</v>
      </c>
      <c r="O26" s="30">
        <v>1E-3</v>
      </c>
      <c r="P26" s="30">
        <v>0</v>
      </c>
      <c r="Q26" s="30" t="s">
        <v>947</v>
      </c>
      <c r="R26" s="30">
        <v>7048</v>
      </c>
      <c r="S26" s="30">
        <v>3</v>
      </c>
      <c r="T26" s="30" t="s">
        <v>421</v>
      </c>
      <c r="U26">
        <f t="shared" si="5"/>
        <v>7048</v>
      </c>
      <c r="V26" t="s">
        <v>1018</v>
      </c>
      <c r="W26" s="30" t="s">
        <v>947</v>
      </c>
      <c r="X26" s="30">
        <v>24</v>
      </c>
      <c r="Y26" s="30" t="s">
        <v>380</v>
      </c>
      <c r="Z26" s="30" t="s">
        <v>381</v>
      </c>
      <c r="AA26" s="30">
        <v>1E-3</v>
      </c>
      <c r="AB26" s="30">
        <v>0</v>
      </c>
      <c r="AC26" s="30" t="s">
        <v>947</v>
      </c>
      <c r="AD26" s="30">
        <v>7048</v>
      </c>
      <c r="AE26" s="30">
        <v>3</v>
      </c>
      <c r="AF26" s="30" t="s">
        <v>421</v>
      </c>
    </row>
    <row r="27" spans="1:32" x14ac:dyDescent="0.3">
      <c r="A27" s="1" t="str">
        <f t="shared" si="0"/>
        <v>Used</v>
      </c>
      <c r="B27" t="str">
        <f t="shared" si="1"/>
        <v>Used</v>
      </c>
      <c r="C27" t="str">
        <f t="shared" si="2"/>
        <v>Used</v>
      </c>
      <c r="D27">
        <v>7051</v>
      </c>
      <c r="E27" s="16" t="s">
        <v>671</v>
      </c>
      <c r="F27" t="s">
        <v>577</v>
      </c>
      <c r="G27">
        <f t="shared" si="3"/>
        <v>7050</v>
      </c>
      <c r="I27">
        <f t="shared" si="4"/>
        <v>7050</v>
      </c>
      <c r="J27" t="s">
        <v>1018</v>
      </c>
      <c r="K27" s="30" t="s">
        <v>948</v>
      </c>
      <c r="L27" s="30">
        <v>25</v>
      </c>
      <c r="M27" s="30" t="s">
        <v>380</v>
      </c>
      <c r="N27" s="30" t="s">
        <v>381</v>
      </c>
      <c r="O27" s="30">
        <v>1E-3</v>
      </c>
      <c r="P27" s="30">
        <v>0</v>
      </c>
      <c r="Q27" s="30" t="s">
        <v>948</v>
      </c>
      <c r="R27" s="30">
        <v>7050</v>
      </c>
      <c r="S27" s="30">
        <v>3</v>
      </c>
      <c r="T27" s="30" t="s">
        <v>421</v>
      </c>
      <c r="U27">
        <f t="shared" si="5"/>
        <v>7050</v>
      </c>
      <c r="V27" t="s">
        <v>1018</v>
      </c>
      <c r="W27" s="30" t="s">
        <v>948</v>
      </c>
      <c r="X27" s="30">
        <v>25</v>
      </c>
      <c r="Y27" s="30" t="s">
        <v>380</v>
      </c>
      <c r="Z27" s="30" t="s">
        <v>381</v>
      </c>
      <c r="AA27" s="30">
        <v>1E-3</v>
      </c>
      <c r="AB27" s="30">
        <v>0</v>
      </c>
      <c r="AC27" s="30" t="s">
        <v>948</v>
      </c>
      <c r="AD27" s="30">
        <v>7050</v>
      </c>
      <c r="AE27" s="30">
        <v>3</v>
      </c>
      <c r="AF27" s="30" t="s">
        <v>421</v>
      </c>
    </row>
    <row r="28" spans="1:32" hidden="1" x14ac:dyDescent="0.3">
      <c r="A28" s="1">
        <f t="shared" si="0"/>
        <v>0</v>
      </c>
      <c r="B28">
        <f t="shared" si="1"/>
        <v>0</v>
      </c>
      <c r="C28">
        <f t="shared" si="2"/>
        <v>0</v>
      </c>
      <c r="D28">
        <v>7053</v>
      </c>
      <c r="E28" s="16" t="s">
        <v>672</v>
      </c>
      <c r="F28" t="s">
        <v>578</v>
      </c>
      <c r="G28">
        <f t="shared" si="3"/>
        <v>7052</v>
      </c>
      <c r="I28">
        <f t="shared" si="4"/>
        <v>7052</v>
      </c>
      <c r="K28" t="s">
        <v>949</v>
      </c>
      <c r="L28">
        <v>26</v>
      </c>
      <c r="M28" t="s">
        <v>380</v>
      </c>
      <c r="N28" t="s">
        <v>381</v>
      </c>
      <c r="O28">
        <v>1E-3</v>
      </c>
      <c r="P28">
        <v>0</v>
      </c>
      <c r="Q28" t="s">
        <v>949</v>
      </c>
      <c r="R28">
        <v>7052</v>
      </c>
      <c r="S28">
        <v>3</v>
      </c>
      <c r="T28" t="s">
        <v>421</v>
      </c>
      <c r="U28">
        <f t="shared" si="5"/>
        <v>7052</v>
      </c>
      <c r="W28" t="s">
        <v>949</v>
      </c>
      <c r="X28">
        <v>26</v>
      </c>
      <c r="Y28" t="s">
        <v>380</v>
      </c>
      <c r="Z28" t="s">
        <v>381</v>
      </c>
      <c r="AA28">
        <v>1E-3</v>
      </c>
      <c r="AB28">
        <v>0</v>
      </c>
      <c r="AC28" t="s">
        <v>949</v>
      </c>
      <c r="AD28">
        <v>7052</v>
      </c>
      <c r="AE28">
        <v>3</v>
      </c>
      <c r="AF28" t="s">
        <v>421</v>
      </c>
    </row>
    <row r="29" spans="1:32" hidden="1" x14ac:dyDescent="0.3">
      <c r="A29" s="1">
        <f t="shared" si="0"/>
        <v>0</v>
      </c>
      <c r="B29">
        <f t="shared" si="1"/>
        <v>0</v>
      </c>
      <c r="C29">
        <f t="shared" si="2"/>
        <v>0</v>
      </c>
      <c r="D29">
        <v>7055</v>
      </c>
      <c r="E29" s="16" t="s">
        <v>673</v>
      </c>
      <c r="F29" t="s">
        <v>579</v>
      </c>
      <c r="G29">
        <f t="shared" si="3"/>
        <v>7054</v>
      </c>
      <c r="I29">
        <f t="shared" si="4"/>
        <v>7054</v>
      </c>
      <c r="K29" t="s">
        <v>950</v>
      </c>
      <c r="L29">
        <v>27</v>
      </c>
      <c r="M29" t="s">
        <v>380</v>
      </c>
      <c r="N29" t="s">
        <v>381</v>
      </c>
      <c r="O29">
        <v>1E-3</v>
      </c>
      <c r="P29">
        <v>0</v>
      </c>
      <c r="Q29" t="s">
        <v>950</v>
      </c>
      <c r="R29">
        <v>7054</v>
      </c>
      <c r="S29">
        <v>3</v>
      </c>
      <c r="T29" t="s">
        <v>421</v>
      </c>
      <c r="U29">
        <f t="shared" si="5"/>
        <v>7054</v>
      </c>
      <c r="W29" t="s">
        <v>950</v>
      </c>
      <c r="X29">
        <v>27</v>
      </c>
      <c r="Y29" t="s">
        <v>380</v>
      </c>
      <c r="Z29" t="s">
        <v>381</v>
      </c>
      <c r="AA29">
        <v>1E-3</v>
      </c>
      <c r="AB29">
        <v>0</v>
      </c>
      <c r="AC29" t="s">
        <v>950</v>
      </c>
      <c r="AD29">
        <v>7054</v>
      </c>
      <c r="AE29">
        <v>3</v>
      </c>
      <c r="AF29" t="s">
        <v>421</v>
      </c>
    </row>
    <row r="30" spans="1:32" hidden="1" x14ac:dyDescent="0.3">
      <c r="A30" s="1">
        <f t="shared" si="0"/>
        <v>0</v>
      </c>
      <c r="B30">
        <f t="shared" si="1"/>
        <v>0</v>
      </c>
      <c r="C30">
        <f t="shared" si="2"/>
        <v>0</v>
      </c>
      <c r="D30">
        <v>7057</v>
      </c>
      <c r="E30" s="16" t="s">
        <v>674</v>
      </c>
      <c r="F30" t="s">
        <v>580</v>
      </c>
      <c r="G30">
        <f t="shared" si="3"/>
        <v>7056</v>
      </c>
      <c r="I30">
        <f t="shared" si="4"/>
        <v>7056</v>
      </c>
      <c r="K30" t="s">
        <v>951</v>
      </c>
      <c r="L30">
        <v>28</v>
      </c>
      <c r="M30" t="s">
        <v>380</v>
      </c>
      <c r="N30" t="s">
        <v>381</v>
      </c>
      <c r="O30">
        <v>1E-3</v>
      </c>
      <c r="P30">
        <v>0</v>
      </c>
      <c r="Q30" t="s">
        <v>951</v>
      </c>
      <c r="R30">
        <v>7056</v>
      </c>
      <c r="S30">
        <v>3</v>
      </c>
      <c r="T30" t="s">
        <v>421</v>
      </c>
      <c r="U30">
        <f t="shared" si="5"/>
        <v>7056</v>
      </c>
      <c r="W30" t="s">
        <v>951</v>
      </c>
      <c r="X30">
        <v>28</v>
      </c>
      <c r="Y30" t="s">
        <v>380</v>
      </c>
      <c r="Z30" t="s">
        <v>381</v>
      </c>
      <c r="AA30">
        <v>1E-3</v>
      </c>
      <c r="AB30">
        <v>0</v>
      </c>
      <c r="AC30" t="s">
        <v>951</v>
      </c>
      <c r="AD30">
        <v>7056</v>
      </c>
      <c r="AE30">
        <v>3</v>
      </c>
      <c r="AF30" t="s">
        <v>421</v>
      </c>
    </row>
    <row r="31" spans="1:32" x14ac:dyDescent="0.3">
      <c r="A31" s="1" t="str">
        <f t="shared" si="0"/>
        <v>Used</v>
      </c>
      <c r="B31" t="str">
        <f t="shared" si="1"/>
        <v>Used</v>
      </c>
      <c r="C31" t="str">
        <f t="shared" si="2"/>
        <v>Used</v>
      </c>
      <c r="D31">
        <v>7059</v>
      </c>
      <c r="E31" s="16" t="s">
        <v>655</v>
      </c>
      <c r="F31" t="s">
        <v>561</v>
      </c>
      <c r="G31">
        <f t="shared" si="3"/>
        <v>7058</v>
      </c>
      <c r="I31">
        <f t="shared" si="4"/>
        <v>7058</v>
      </c>
      <c r="J31" t="s">
        <v>1018</v>
      </c>
      <c r="K31" s="30" t="s">
        <v>952</v>
      </c>
      <c r="L31" s="30">
        <v>29</v>
      </c>
      <c r="M31" s="30" t="s">
        <v>380</v>
      </c>
      <c r="N31" s="30" t="s">
        <v>381</v>
      </c>
      <c r="O31" s="30">
        <v>1E-3</v>
      </c>
      <c r="P31" s="30">
        <v>0</v>
      </c>
      <c r="Q31" s="30" t="s">
        <v>952</v>
      </c>
      <c r="R31" s="30">
        <v>7058</v>
      </c>
      <c r="S31" s="30">
        <v>3</v>
      </c>
      <c r="T31" s="30" t="s">
        <v>421</v>
      </c>
      <c r="U31">
        <f t="shared" si="5"/>
        <v>7058</v>
      </c>
      <c r="V31" t="s">
        <v>1018</v>
      </c>
      <c r="W31" s="30" t="s">
        <v>952</v>
      </c>
      <c r="X31" s="30">
        <v>29</v>
      </c>
      <c r="Y31" s="30" t="s">
        <v>380</v>
      </c>
      <c r="Z31" s="30" t="s">
        <v>381</v>
      </c>
      <c r="AA31" s="30">
        <v>1E-3</v>
      </c>
      <c r="AB31" s="30">
        <v>0</v>
      </c>
      <c r="AC31" s="30" t="s">
        <v>952</v>
      </c>
      <c r="AD31" s="30">
        <v>7058</v>
      </c>
      <c r="AE31" s="30">
        <v>3</v>
      </c>
      <c r="AF31" s="30" t="s">
        <v>421</v>
      </c>
    </row>
    <row r="32" spans="1:32" x14ac:dyDescent="0.3">
      <c r="A32" s="1" t="str">
        <f t="shared" si="0"/>
        <v>Used</v>
      </c>
      <c r="B32" t="str">
        <f t="shared" si="1"/>
        <v>Used</v>
      </c>
      <c r="C32" t="str">
        <f t="shared" si="2"/>
        <v>Used</v>
      </c>
      <c r="D32">
        <v>7061</v>
      </c>
      <c r="E32" s="16" t="s">
        <v>656</v>
      </c>
      <c r="F32" t="s">
        <v>562</v>
      </c>
      <c r="G32">
        <f t="shared" si="3"/>
        <v>7060</v>
      </c>
      <c r="I32">
        <f t="shared" si="4"/>
        <v>7060</v>
      </c>
      <c r="J32" t="s">
        <v>1018</v>
      </c>
      <c r="K32" s="30" t="s">
        <v>953</v>
      </c>
      <c r="L32" s="30">
        <v>30</v>
      </c>
      <c r="M32" s="30" t="s">
        <v>380</v>
      </c>
      <c r="N32" s="30" t="s">
        <v>381</v>
      </c>
      <c r="O32" s="30">
        <v>1E-3</v>
      </c>
      <c r="P32" s="30">
        <v>0</v>
      </c>
      <c r="Q32" s="30" t="s">
        <v>953</v>
      </c>
      <c r="R32" s="30">
        <v>7060</v>
      </c>
      <c r="S32" s="30">
        <v>3</v>
      </c>
      <c r="T32" s="30" t="s">
        <v>421</v>
      </c>
      <c r="U32">
        <f t="shared" si="5"/>
        <v>7060</v>
      </c>
      <c r="V32" t="s">
        <v>1018</v>
      </c>
      <c r="W32" s="30" t="s">
        <v>953</v>
      </c>
      <c r="X32" s="30">
        <v>30</v>
      </c>
      <c r="Y32" s="30" t="s">
        <v>380</v>
      </c>
      <c r="Z32" s="30" t="s">
        <v>381</v>
      </c>
      <c r="AA32" s="30">
        <v>1E-3</v>
      </c>
      <c r="AB32" s="30">
        <v>0</v>
      </c>
      <c r="AC32" s="30" t="s">
        <v>953</v>
      </c>
      <c r="AD32" s="30">
        <v>7060</v>
      </c>
      <c r="AE32" s="30">
        <v>3</v>
      </c>
      <c r="AF32" s="30" t="s">
        <v>421</v>
      </c>
    </row>
    <row r="33" spans="1:32" x14ac:dyDescent="0.3">
      <c r="A33" s="1" t="str">
        <f t="shared" si="0"/>
        <v>Used</v>
      </c>
      <c r="B33" t="str">
        <f t="shared" si="1"/>
        <v>Used</v>
      </c>
      <c r="C33" t="str">
        <f t="shared" si="2"/>
        <v>Used</v>
      </c>
      <c r="D33">
        <v>7063</v>
      </c>
      <c r="E33" s="16" t="s">
        <v>657</v>
      </c>
      <c r="F33" t="s">
        <v>563</v>
      </c>
      <c r="G33">
        <f t="shared" si="3"/>
        <v>7062</v>
      </c>
      <c r="I33">
        <f t="shared" si="4"/>
        <v>7062</v>
      </c>
      <c r="J33" t="s">
        <v>1018</v>
      </c>
      <c r="K33" s="30" t="s">
        <v>954</v>
      </c>
      <c r="L33" s="30">
        <v>31</v>
      </c>
      <c r="M33" s="30" t="s">
        <v>380</v>
      </c>
      <c r="N33" s="30" t="s">
        <v>381</v>
      </c>
      <c r="O33" s="30">
        <v>1E-3</v>
      </c>
      <c r="P33" s="30">
        <v>0</v>
      </c>
      <c r="Q33" s="30" t="s">
        <v>954</v>
      </c>
      <c r="R33" s="30">
        <v>7062</v>
      </c>
      <c r="S33" s="30">
        <v>3</v>
      </c>
      <c r="T33" s="30" t="s">
        <v>421</v>
      </c>
      <c r="U33">
        <f t="shared" si="5"/>
        <v>7062</v>
      </c>
      <c r="V33" t="s">
        <v>1018</v>
      </c>
      <c r="W33" s="30" t="s">
        <v>954</v>
      </c>
      <c r="X33" s="30">
        <v>31</v>
      </c>
      <c r="Y33" s="30" t="s">
        <v>380</v>
      </c>
      <c r="Z33" s="30" t="s">
        <v>381</v>
      </c>
      <c r="AA33" s="30">
        <v>1E-3</v>
      </c>
      <c r="AB33" s="30">
        <v>0</v>
      </c>
      <c r="AC33" s="30" t="s">
        <v>954</v>
      </c>
      <c r="AD33" s="30">
        <v>7062</v>
      </c>
      <c r="AE33" s="30">
        <v>3</v>
      </c>
      <c r="AF33" s="30" t="s">
        <v>421</v>
      </c>
    </row>
    <row r="34" spans="1:32" x14ac:dyDescent="0.3">
      <c r="A34" s="1" t="str">
        <f t="shared" si="0"/>
        <v>Used</v>
      </c>
      <c r="B34" t="str">
        <f t="shared" si="1"/>
        <v>Used</v>
      </c>
      <c r="C34" t="str">
        <f t="shared" si="2"/>
        <v>Used</v>
      </c>
      <c r="D34">
        <v>7065</v>
      </c>
      <c r="E34" s="16" t="s">
        <v>675</v>
      </c>
      <c r="F34" t="s">
        <v>920</v>
      </c>
      <c r="G34">
        <f t="shared" si="3"/>
        <v>7064</v>
      </c>
      <c r="I34">
        <f t="shared" si="4"/>
        <v>7064</v>
      </c>
      <c r="J34" t="s">
        <v>1018</v>
      </c>
      <c r="K34" s="30" t="s">
        <v>955</v>
      </c>
      <c r="L34" s="30">
        <v>32</v>
      </c>
      <c r="M34" s="30" t="s">
        <v>380</v>
      </c>
      <c r="N34" s="30" t="s">
        <v>381</v>
      </c>
      <c r="O34" s="30">
        <v>1E-3</v>
      </c>
      <c r="P34" s="30">
        <v>0</v>
      </c>
      <c r="Q34" s="30" t="s">
        <v>955</v>
      </c>
      <c r="R34" s="30">
        <v>7064</v>
      </c>
      <c r="S34" s="30">
        <v>3</v>
      </c>
      <c r="T34" s="30" t="s">
        <v>421</v>
      </c>
      <c r="U34">
        <f t="shared" si="5"/>
        <v>7064</v>
      </c>
      <c r="V34" t="s">
        <v>1018</v>
      </c>
      <c r="W34" s="30" t="s">
        <v>955</v>
      </c>
      <c r="X34" s="30">
        <v>32</v>
      </c>
      <c r="Y34" s="30" t="s">
        <v>380</v>
      </c>
      <c r="Z34" s="30" t="s">
        <v>381</v>
      </c>
      <c r="AA34" s="30">
        <v>1E-3</v>
      </c>
      <c r="AB34" s="30">
        <v>0</v>
      </c>
      <c r="AC34" s="30" t="s">
        <v>955</v>
      </c>
      <c r="AD34" s="30">
        <v>7064</v>
      </c>
      <c r="AE34" s="30">
        <v>3</v>
      </c>
      <c r="AF34" s="30" t="s">
        <v>421</v>
      </c>
    </row>
    <row r="35" spans="1:32" hidden="1" x14ac:dyDescent="0.3">
      <c r="A35" s="1">
        <f t="shared" si="0"/>
        <v>0</v>
      </c>
      <c r="B35">
        <f t="shared" si="1"/>
        <v>0</v>
      </c>
      <c r="C35">
        <f t="shared" si="2"/>
        <v>0</v>
      </c>
      <c r="D35">
        <v>7067</v>
      </c>
      <c r="E35" s="16" t="s">
        <v>676</v>
      </c>
      <c r="F35" t="s">
        <v>582</v>
      </c>
      <c r="G35">
        <f t="shared" si="3"/>
        <v>7066</v>
      </c>
      <c r="I35">
        <f t="shared" si="4"/>
        <v>7066</v>
      </c>
      <c r="K35" t="s">
        <v>956</v>
      </c>
      <c r="L35">
        <v>33</v>
      </c>
      <c r="M35" t="s">
        <v>380</v>
      </c>
      <c r="N35" t="s">
        <v>381</v>
      </c>
      <c r="O35">
        <v>1E-3</v>
      </c>
      <c r="P35">
        <v>0</v>
      </c>
      <c r="Q35" t="s">
        <v>956</v>
      </c>
      <c r="R35">
        <v>7066</v>
      </c>
      <c r="S35">
        <v>3</v>
      </c>
      <c r="T35" t="s">
        <v>421</v>
      </c>
      <c r="U35">
        <f t="shared" si="5"/>
        <v>7066</v>
      </c>
      <c r="W35" t="s">
        <v>956</v>
      </c>
      <c r="X35">
        <v>33</v>
      </c>
      <c r="Y35" t="s">
        <v>380</v>
      </c>
      <c r="Z35" t="s">
        <v>381</v>
      </c>
      <c r="AA35">
        <v>1E-3</v>
      </c>
      <c r="AB35">
        <v>0</v>
      </c>
      <c r="AC35" t="s">
        <v>956</v>
      </c>
      <c r="AD35">
        <v>7066</v>
      </c>
      <c r="AE35">
        <v>3</v>
      </c>
      <c r="AF35" t="s">
        <v>421</v>
      </c>
    </row>
    <row r="36" spans="1:32" hidden="1" x14ac:dyDescent="0.3">
      <c r="A36" s="1">
        <f t="shared" si="0"/>
        <v>0</v>
      </c>
      <c r="B36">
        <f t="shared" si="1"/>
        <v>0</v>
      </c>
      <c r="C36">
        <f t="shared" si="2"/>
        <v>0</v>
      </c>
      <c r="D36">
        <v>7069</v>
      </c>
      <c r="E36" s="16" t="s">
        <v>658</v>
      </c>
      <c r="F36" t="s">
        <v>583</v>
      </c>
      <c r="G36">
        <f t="shared" si="3"/>
        <v>7068</v>
      </c>
      <c r="I36">
        <f t="shared" si="4"/>
        <v>7068</v>
      </c>
      <c r="K36" t="s">
        <v>957</v>
      </c>
      <c r="L36">
        <v>34</v>
      </c>
      <c r="M36" t="s">
        <v>380</v>
      </c>
      <c r="N36" t="s">
        <v>381</v>
      </c>
      <c r="O36">
        <v>1E-3</v>
      </c>
      <c r="P36">
        <v>0</v>
      </c>
      <c r="Q36" t="s">
        <v>957</v>
      </c>
      <c r="R36">
        <v>7068</v>
      </c>
      <c r="S36">
        <v>3</v>
      </c>
      <c r="T36" t="s">
        <v>421</v>
      </c>
      <c r="U36">
        <f t="shared" si="5"/>
        <v>7068</v>
      </c>
      <c r="W36" t="s">
        <v>957</v>
      </c>
      <c r="X36">
        <v>34</v>
      </c>
      <c r="Y36" t="s">
        <v>380</v>
      </c>
      <c r="Z36" t="s">
        <v>381</v>
      </c>
      <c r="AA36">
        <v>1E-3</v>
      </c>
      <c r="AB36">
        <v>0</v>
      </c>
      <c r="AC36" t="s">
        <v>957</v>
      </c>
      <c r="AD36">
        <v>7068</v>
      </c>
      <c r="AE36">
        <v>3</v>
      </c>
      <c r="AF36" t="s">
        <v>421</v>
      </c>
    </row>
    <row r="37" spans="1:32" hidden="1" x14ac:dyDescent="0.3">
      <c r="A37" s="1">
        <f t="shared" si="0"/>
        <v>0</v>
      </c>
      <c r="B37">
        <f t="shared" si="1"/>
        <v>0</v>
      </c>
      <c r="C37">
        <f t="shared" si="2"/>
        <v>0</v>
      </c>
      <c r="D37">
        <v>7071</v>
      </c>
      <c r="E37" s="16" t="s">
        <v>677</v>
      </c>
      <c r="F37" t="s">
        <v>584</v>
      </c>
      <c r="G37">
        <f t="shared" si="3"/>
        <v>7070</v>
      </c>
      <c r="I37">
        <f t="shared" si="4"/>
        <v>7070</v>
      </c>
      <c r="K37" t="s">
        <v>958</v>
      </c>
      <c r="L37">
        <v>35</v>
      </c>
      <c r="M37" t="s">
        <v>380</v>
      </c>
      <c r="N37" t="s">
        <v>381</v>
      </c>
      <c r="O37">
        <v>1</v>
      </c>
      <c r="P37">
        <v>0</v>
      </c>
      <c r="Q37" t="s">
        <v>958</v>
      </c>
      <c r="R37">
        <v>7070</v>
      </c>
      <c r="S37">
        <v>3</v>
      </c>
      <c r="T37" t="s">
        <v>421</v>
      </c>
      <c r="U37">
        <f t="shared" si="5"/>
        <v>7070</v>
      </c>
      <c r="W37" t="s">
        <v>958</v>
      </c>
      <c r="X37">
        <v>35</v>
      </c>
      <c r="Y37" t="s">
        <v>380</v>
      </c>
      <c r="Z37" t="s">
        <v>381</v>
      </c>
      <c r="AA37">
        <v>1</v>
      </c>
      <c r="AB37">
        <v>0</v>
      </c>
      <c r="AC37" t="s">
        <v>958</v>
      </c>
      <c r="AD37">
        <v>7070</v>
      </c>
      <c r="AE37">
        <v>3</v>
      </c>
      <c r="AF37" t="s">
        <v>421</v>
      </c>
    </row>
    <row r="38" spans="1:32" hidden="1" x14ac:dyDescent="0.3">
      <c r="A38" s="1">
        <f t="shared" si="0"/>
        <v>0</v>
      </c>
      <c r="B38">
        <f t="shared" si="1"/>
        <v>0</v>
      </c>
      <c r="C38">
        <f t="shared" si="2"/>
        <v>0</v>
      </c>
      <c r="D38">
        <v>7073</v>
      </c>
      <c r="E38" s="16" t="s">
        <v>678</v>
      </c>
      <c r="F38" t="s">
        <v>585</v>
      </c>
      <c r="G38">
        <f t="shared" si="3"/>
        <v>7072</v>
      </c>
      <c r="I38">
        <f t="shared" si="4"/>
        <v>7072</v>
      </c>
      <c r="K38" t="s">
        <v>959</v>
      </c>
      <c r="L38">
        <v>36</v>
      </c>
      <c r="M38" t="s">
        <v>380</v>
      </c>
      <c r="N38" t="s">
        <v>381</v>
      </c>
      <c r="O38">
        <v>1</v>
      </c>
      <c r="P38">
        <v>0</v>
      </c>
      <c r="Q38" t="s">
        <v>959</v>
      </c>
      <c r="R38">
        <v>7072</v>
      </c>
      <c r="S38">
        <v>3</v>
      </c>
      <c r="T38" t="s">
        <v>421</v>
      </c>
      <c r="U38">
        <f t="shared" si="5"/>
        <v>7072</v>
      </c>
      <c r="W38" t="s">
        <v>959</v>
      </c>
      <c r="X38">
        <v>36</v>
      </c>
      <c r="Y38" t="s">
        <v>380</v>
      </c>
      <c r="Z38" t="s">
        <v>381</v>
      </c>
      <c r="AA38">
        <v>1</v>
      </c>
      <c r="AB38">
        <v>0</v>
      </c>
      <c r="AC38" t="s">
        <v>959</v>
      </c>
      <c r="AD38">
        <v>7072</v>
      </c>
      <c r="AE38">
        <v>3</v>
      </c>
      <c r="AF38" t="s">
        <v>421</v>
      </c>
    </row>
    <row r="39" spans="1:32" hidden="1" x14ac:dyDescent="0.3">
      <c r="A39" s="1">
        <f t="shared" si="0"/>
        <v>0</v>
      </c>
      <c r="B39">
        <f t="shared" si="1"/>
        <v>0</v>
      </c>
      <c r="C39">
        <f t="shared" si="2"/>
        <v>0</v>
      </c>
      <c r="D39">
        <v>7075</v>
      </c>
      <c r="E39" s="16" t="s">
        <v>679</v>
      </c>
      <c r="F39" t="s">
        <v>586</v>
      </c>
      <c r="G39">
        <f t="shared" si="3"/>
        <v>7074</v>
      </c>
      <c r="I39">
        <f t="shared" si="4"/>
        <v>7074</v>
      </c>
      <c r="K39" t="s">
        <v>960</v>
      </c>
      <c r="L39">
        <v>37</v>
      </c>
      <c r="M39" t="s">
        <v>380</v>
      </c>
      <c r="N39" t="s">
        <v>381</v>
      </c>
      <c r="O39">
        <v>1</v>
      </c>
      <c r="P39">
        <v>0</v>
      </c>
      <c r="Q39" t="s">
        <v>960</v>
      </c>
      <c r="R39">
        <v>7074</v>
      </c>
      <c r="S39">
        <v>3</v>
      </c>
      <c r="T39" t="s">
        <v>421</v>
      </c>
      <c r="U39">
        <f t="shared" si="5"/>
        <v>7074</v>
      </c>
      <c r="W39" t="s">
        <v>960</v>
      </c>
      <c r="X39">
        <v>37</v>
      </c>
      <c r="Y39" t="s">
        <v>380</v>
      </c>
      <c r="Z39" t="s">
        <v>381</v>
      </c>
      <c r="AA39">
        <v>1</v>
      </c>
      <c r="AB39">
        <v>0</v>
      </c>
      <c r="AC39" t="s">
        <v>960</v>
      </c>
      <c r="AD39">
        <v>7074</v>
      </c>
      <c r="AE39">
        <v>3</v>
      </c>
      <c r="AF39" t="s">
        <v>421</v>
      </c>
    </row>
    <row r="40" spans="1:32" hidden="1" x14ac:dyDescent="0.3">
      <c r="A40" s="1">
        <f t="shared" si="0"/>
        <v>0</v>
      </c>
      <c r="B40">
        <f t="shared" si="1"/>
        <v>0</v>
      </c>
      <c r="C40">
        <f t="shared" si="2"/>
        <v>0</v>
      </c>
      <c r="D40">
        <v>7077</v>
      </c>
      <c r="E40" s="16" t="s">
        <v>680</v>
      </c>
      <c r="F40" t="s">
        <v>587</v>
      </c>
      <c r="G40">
        <f t="shared" si="3"/>
        <v>7076</v>
      </c>
      <c r="I40">
        <f t="shared" si="4"/>
        <v>7076</v>
      </c>
      <c r="K40" t="s">
        <v>961</v>
      </c>
      <c r="L40">
        <v>38</v>
      </c>
      <c r="M40" t="s">
        <v>380</v>
      </c>
      <c r="N40" t="s">
        <v>381</v>
      </c>
      <c r="O40">
        <v>1</v>
      </c>
      <c r="P40">
        <v>0</v>
      </c>
      <c r="Q40" t="s">
        <v>961</v>
      </c>
      <c r="R40">
        <v>7076</v>
      </c>
      <c r="S40">
        <v>3</v>
      </c>
      <c r="T40" t="s">
        <v>421</v>
      </c>
      <c r="U40">
        <f t="shared" si="5"/>
        <v>7076</v>
      </c>
      <c r="W40" t="s">
        <v>961</v>
      </c>
      <c r="X40">
        <v>38</v>
      </c>
      <c r="Y40" t="s">
        <v>380</v>
      </c>
      <c r="Z40" t="s">
        <v>381</v>
      </c>
      <c r="AA40">
        <v>1</v>
      </c>
      <c r="AB40">
        <v>0</v>
      </c>
      <c r="AC40" t="s">
        <v>961</v>
      </c>
      <c r="AD40">
        <v>7076</v>
      </c>
      <c r="AE40">
        <v>3</v>
      </c>
      <c r="AF40" t="s">
        <v>421</v>
      </c>
    </row>
    <row r="41" spans="1:32" hidden="1" x14ac:dyDescent="0.3">
      <c r="A41" s="1">
        <f t="shared" si="0"/>
        <v>0</v>
      </c>
      <c r="B41">
        <f t="shared" si="1"/>
        <v>0</v>
      </c>
      <c r="C41">
        <f t="shared" si="2"/>
        <v>0</v>
      </c>
      <c r="D41">
        <v>7079</v>
      </c>
      <c r="E41" s="16" t="s">
        <v>681</v>
      </c>
      <c r="F41" t="s">
        <v>588</v>
      </c>
      <c r="G41">
        <f t="shared" si="3"/>
        <v>7078</v>
      </c>
      <c r="I41">
        <f t="shared" si="4"/>
        <v>7078</v>
      </c>
      <c r="K41" t="s">
        <v>962</v>
      </c>
      <c r="L41">
        <v>39</v>
      </c>
      <c r="M41" t="s">
        <v>380</v>
      </c>
      <c r="N41" t="s">
        <v>381</v>
      </c>
      <c r="O41">
        <v>1</v>
      </c>
      <c r="P41">
        <v>0</v>
      </c>
      <c r="Q41" t="s">
        <v>962</v>
      </c>
      <c r="R41">
        <v>7078</v>
      </c>
      <c r="S41">
        <v>3</v>
      </c>
      <c r="T41" t="s">
        <v>421</v>
      </c>
      <c r="U41">
        <f t="shared" si="5"/>
        <v>7078</v>
      </c>
      <c r="W41" t="s">
        <v>962</v>
      </c>
      <c r="X41">
        <v>39</v>
      </c>
      <c r="Y41" t="s">
        <v>380</v>
      </c>
      <c r="Z41" t="s">
        <v>381</v>
      </c>
      <c r="AA41">
        <v>1</v>
      </c>
      <c r="AB41">
        <v>0</v>
      </c>
      <c r="AC41" t="s">
        <v>962</v>
      </c>
      <c r="AD41">
        <v>7078</v>
      </c>
      <c r="AE41">
        <v>3</v>
      </c>
      <c r="AF41" t="s">
        <v>421</v>
      </c>
    </row>
    <row r="42" spans="1:32" hidden="1" x14ac:dyDescent="0.3">
      <c r="A42" s="1">
        <f t="shared" si="0"/>
        <v>0</v>
      </c>
      <c r="B42">
        <f t="shared" si="1"/>
        <v>0</v>
      </c>
      <c r="C42">
        <f t="shared" si="2"/>
        <v>0</v>
      </c>
      <c r="D42">
        <v>7081</v>
      </c>
      <c r="E42" s="16" t="s">
        <v>682</v>
      </c>
      <c r="F42" t="s">
        <v>589</v>
      </c>
      <c r="G42">
        <f t="shared" si="3"/>
        <v>7080</v>
      </c>
      <c r="I42">
        <f t="shared" si="4"/>
        <v>7080</v>
      </c>
      <c r="K42" t="s">
        <v>963</v>
      </c>
      <c r="L42">
        <v>40</v>
      </c>
      <c r="M42" t="s">
        <v>380</v>
      </c>
      <c r="N42" t="s">
        <v>381</v>
      </c>
      <c r="O42">
        <v>1</v>
      </c>
      <c r="P42">
        <v>0</v>
      </c>
      <c r="Q42" t="s">
        <v>963</v>
      </c>
      <c r="R42">
        <v>7080</v>
      </c>
      <c r="S42">
        <v>3</v>
      </c>
      <c r="T42" t="s">
        <v>421</v>
      </c>
      <c r="U42">
        <f t="shared" si="5"/>
        <v>7080</v>
      </c>
      <c r="W42" t="s">
        <v>963</v>
      </c>
      <c r="X42">
        <v>40</v>
      </c>
      <c r="Y42" t="s">
        <v>380</v>
      </c>
      <c r="Z42" t="s">
        <v>381</v>
      </c>
      <c r="AA42">
        <v>1</v>
      </c>
      <c r="AB42">
        <v>0</v>
      </c>
      <c r="AC42" t="s">
        <v>963</v>
      </c>
      <c r="AD42">
        <v>7080</v>
      </c>
      <c r="AE42">
        <v>3</v>
      </c>
      <c r="AF42" t="s">
        <v>421</v>
      </c>
    </row>
    <row r="43" spans="1:32" hidden="1" x14ac:dyDescent="0.3">
      <c r="A43" s="1">
        <f t="shared" si="0"/>
        <v>0</v>
      </c>
      <c r="B43">
        <f t="shared" si="1"/>
        <v>0</v>
      </c>
      <c r="C43">
        <f t="shared" si="2"/>
        <v>0</v>
      </c>
      <c r="D43">
        <v>7083</v>
      </c>
      <c r="E43" s="16" t="s">
        <v>683</v>
      </c>
      <c r="F43" t="s">
        <v>590</v>
      </c>
      <c r="G43">
        <f t="shared" si="3"/>
        <v>7082</v>
      </c>
      <c r="I43">
        <f t="shared" si="4"/>
        <v>7082</v>
      </c>
      <c r="K43" t="s">
        <v>964</v>
      </c>
      <c r="L43">
        <v>41</v>
      </c>
      <c r="M43" t="s">
        <v>380</v>
      </c>
      <c r="N43" t="s">
        <v>381</v>
      </c>
      <c r="O43">
        <v>1</v>
      </c>
      <c r="P43">
        <v>0</v>
      </c>
      <c r="Q43" t="s">
        <v>964</v>
      </c>
      <c r="R43">
        <v>7082</v>
      </c>
      <c r="S43">
        <v>3</v>
      </c>
      <c r="T43" t="s">
        <v>421</v>
      </c>
      <c r="U43">
        <f t="shared" si="5"/>
        <v>7082</v>
      </c>
      <c r="W43" t="s">
        <v>964</v>
      </c>
      <c r="X43">
        <v>41</v>
      </c>
      <c r="Y43" t="s">
        <v>380</v>
      </c>
      <c r="Z43" t="s">
        <v>381</v>
      </c>
      <c r="AA43">
        <v>1</v>
      </c>
      <c r="AB43">
        <v>0</v>
      </c>
      <c r="AC43" t="s">
        <v>964</v>
      </c>
      <c r="AD43">
        <v>7082</v>
      </c>
      <c r="AE43">
        <v>3</v>
      </c>
      <c r="AF43" t="s">
        <v>421</v>
      </c>
    </row>
    <row r="44" spans="1:32" hidden="1" x14ac:dyDescent="0.3">
      <c r="A44" s="1">
        <f t="shared" si="0"/>
        <v>0</v>
      </c>
      <c r="B44">
        <f t="shared" si="1"/>
        <v>0</v>
      </c>
      <c r="C44">
        <f t="shared" si="2"/>
        <v>0</v>
      </c>
      <c r="D44">
        <v>7085</v>
      </c>
      <c r="E44" s="16" t="s">
        <v>684</v>
      </c>
      <c r="F44" t="s">
        <v>591</v>
      </c>
      <c r="G44">
        <f t="shared" si="3"/>
        <v>7084</v>
      </c>
      <c r="I44">
        <f t="shared" si="4"/>
        <v>7084</v>
      </c>
      <c r="K44" t="s">
        <v>965</v>
      </c>
      <c r="L44">
        <v>42</v>
      </c>
      <c r="M44" t="s">
        <v>380</v>
      </c>
      <c r="N44" t="s">
        <v>381</v>
      </c>
      <c r="O44">
        <v>1</v>
      </c>
      <c r="P44">
        <v>0</v>
      </c>
      <c r="Q44" t="s">
        <v>965</v>
      </c>
      <c r="R44">
        <v>7084</v>
      </c>
      <c r="S44">
        <v>3</v>
      </c>
      <c r="T44" t="s">
        <v>421</v>
      </c>
      <c r="U44">
        <f t="shared" si="5"/>
        <v>7084</v>
      </c>
      <c r="W44" t="s">
        <v>965</v>
      </c>
      <c r="X44">
        <v>42</v>
      </c>
      <c r="Y44" t="s">
        <v>380</v>
      </c>
      <c r="Z44" t="s">
        <v>381</v>
      </c>
      <c r="AA44">
        <v>1</v>
      </c>
      <c r="AB44">
        <v>0</v>
      </c>
      <c r="AC44" t="s">
        <v>965</v>
      </c>
      <c r="AD44">
        <v>7084</v>
      </c>
      <c r="AE44">
        <v>3</v>
      </c>
      <c r="AF44" t="s">
        <v>421</v>
      </c>
    </row>
    <row r="45" spans="1:32" hidden="1" x14ac:dyDescent="0.3">
      <c r="A45" s="1">
        <f t="shared" si="0"/>
        <v>0</v>
      </c>
      <c r="B45">
        <f t="shared" si="1"/>
        <v>0</v>
      </c>
      <c r="C45">
        <f t="shared" si="2"/>
        <v>0</v>
      </c>
      <c r="D45">
        <v>7087</v>
      </c>
      <c r="E45" s="16" t="s">
        <v>685</v>
      </c>
      <c r="F45" t="s">
        <v>592</v>
      </c>
      <c r="G45">
        <f t="shared" si="3"/>
        <v>7086</v>
      </c>
      <c r="I45">
        <f t="shared" si="4"/>
        <v>7086</v>
      </c>
      <c r="K45" t="s">
        <v>966</v>
      </c>
      <c r="L45">
        <v>43</v>
      </c>
      <c r="M45" t="s">
        <v>380</v>
      </c>
      <c r="N45" t="s">
        <v>381</v>
      </c>
      <c r="O45">
        <v>1</v>
      </c>
      <c r="P45">
        <v>0</v>
      </c>
      <c r="Q45" t="s">
        <v>966</v>
      </c>
      <c r="R45">
        <v>7086</v>
      </c>
      <c r="S45">
        <v>3</v>
      </c>
      <c r="T45" t="s">
        <v>421</v>
      </c>
      <c r="U45">
        <f t="shared" si="5"/>
        <v>7086</v>
      </c>
      <c r="W45" t="s">
        <v>966</v>
      </c>
      <c r="X45">
        <v>43</v>
      </c>
      <c r="Y45" t="s">
        <v>380</v>
      </c>
      <c r="Z45" t="s">
        <v>381</v>
      </c>
      <c r="AA45">
        <v>1</v>
      </c>
      <c r="AB45">
        <v>0</v>
      </c>
      <c r="AC45" t="s">
        <v>966</v>
      </c>
      <c r="AD45">
        <v>7086</v>
      </c>
      <c r="AE45">
        <v>3</v>
      </c>
      <c r="AF45" t="s">
        <v>421</v>
      </c>
    </row>
    <row r="46" spans="1:32" hidden="1" x14ac:dyDescent="0.3">
      <c r="A46" s="1">
        <f t="shared" si="0"/>
        <v>0</v>
      </c>
      <c r="B46">
        <f t="shared" si="1"/>
        <v>0</v>
      </c>
      <c r="C46">
        <f t="shared" si="2"/>
        <v>0</v>
      </c>
      <c r="D46">
        <v>7089</v>
      </c>
      <c r="E46" s="16" t="s">
        <v>686</v>
      </c>
      <c r="F46" t="s">
        <v>593</v>
      </c>
      <c r="G46">
        <f t="shared" si="3"/>
        <v>7088</v>
      </c>
      <c r="I46">
        <f t="shared" si="4"/>
        <v>7088</v>
      </c>
      <c r="K46" t="s">
        <v>967</v>
      </c>
      <c r="L46">
        <v>44</v>
      </c>
      <c r="M46" t="s">
        <v>380</v>
      </c>
      <c r="N46" t="s">
        <v>381</v>
      </c>
      <c r="O46">
        <v>1E-3</v>
      </c>
      <c r="P46">
        <v>0</v>
      </c>
      <c r="Q46" t="s">
        <v>967</v>
      </c>
      <c r="R46">
        <v>7088</v>
      </c>
      <c r="S46">
        <v>3</v>
      </c>
      <c r="T46" t="s">
        <v>421</v>
      </c>
      <c r="U46">
        <f t="shared" si="5"/>
        <v>7088</v>
      </c>
      <c r="W46" t="s">
        <v>967</v>
      </c>
      <c r="X46">
        <v>44</v>
      </c>
      <c r="Y46" t="s">
        <v>380</v>
      </c>
      <c r="Z46" t="s">
        <v>381</v>
      </c>
      <c r="AA46">
        <v>1E-3</v>
      </c>
      <c r="AB46">
        <v>0</v>
      </c>
      <c r="AC46" t="s">
        <v>967</v>
      </c>
      <c r="AD46">
        <v>7088</v>
      </c>
      <c r="AE46">
        <v>3</v>
      </c>
      <c r="AF46" t="s">
        <v>421</v>
      </c>
    </row>
    <row r="47" spans="1:32" hidden="1" x14ac:dyDescent="0.3">
      <c r="A47" s="1">
        <f t="shared" si="0"/>
        <v>0</v>
      </c>
      <c r="B47">
        <f t="shared" si="1"/>
        <v>0</v>
      </c>
      <c r="C47">
        <f t="shared" si="2"/>
        <v>0</v>
      </c>
      <c r="D47">
        <v>7091</v>
      </c>
      <c r="E47" s="16" t="s">
        <v>687</v>
      </c>
      <c r="F47" t="s">
        <v>594</v>
      </c>
      <c r="G47">
        <f t="shared" si="3"/>
        <v>7090</v>
      </c>
      <c r="I47">
        <f t="shared" si="4"/>
        <v>7090</v>
      </c>
      <c r="K47" t="s">
        <v>968</v>
      </c>
      <c r="L47">
        <v>45</v>
      </c>
      <c r="M47" t="s">
        <v>380</v>
      </c>
      <c r="N47" t="s">
        <v>381</v>
      </c>
      <c r="O47">
        <v>1E-3</v>
      </c>
      <c r="P47">
        <v>0</v>
      </c>
      <c r="Q47" t="s">
        <v>968</v>
      </c>
      <c r="R47">
        <v>7090</v>
      </c>
      <c r="S47">
        <v>3</v>
      </c>
      <c r="T47" t="s">
        <v>421</v>
      </c>
      <c r="U47">
        <f t="shared" si="5"/>
        <v>7090</v>
      </c>
      <c r="W47" t="s">
        <v>968</v>
      </c>
      <c r="X47">
        <v>45</v>
      </c>
      <c r="Y47" t="s">
        <v>380</v>
      </c>
      <c r="Z47" t="s">
        <v>381</v>
      </c>
      <c r="AA47">
        <v>1E-3</v>
      </c>
      <c r="AB47">
        <v>0</v>
      </c>
      <c r="AC47" t="s">
        <v>968</v>
      </c>
      <c r="AD47">
        <v>7090</v>
      </c>
      <c r="AE47">
        <v>3</v>
      </c>
      <c r="AF47" t="s">
        <v>421</v>
      </c>
    </row>
    <row r="48" spans="1:32" hidden="1" x14ac:dyDescent="0.3">
      <c r="A48" s="1">
        <f t="shared" si="0"/>
        <v>0</v>
      </c>
      <c r="B48">
        <f t="shared" si="1"/>
        <v>0</v>
      </c>
      <c r="C48">
        <f t="shared" si="2"/>
        <v>0</v>
      </c>
      <c r="D48">
        <v>7093</v>
      </c>
      <c r="E48" s="16" t="s">
        <v>688</v>
      </c>
      <c r="F48" t="s">
        <v>595</v>
      </c>
      <c r="G48">
        <f t="shared" si="3"/>
        <v>7092</v>
      </c>
      <c r="I48">
        <f t="shared" si="4"/>
        <v>7092</v>
      </c>
      <c r="K48" t="s">
        <v>969</v>
      </c>
      <c r="L48">
        <v>46</v>
      </c>
      <c r="M48" t="s">
        <v>380</v>
      </c>
      <c r="N48" t="s">
        <v>381</v>
      </c>
      <c r="O48">
        <v>1E-3</v>
      </c>
      <c r="P48">
        <v>0</v>
      </c>
      <c r="Q48" t="s">
        <v>969</v>
      </c>
      <c r="R48">
        <v>7092</v>
      </c>
      <c r="S48">
        <v>3</v>
      </c>
      <c r="T48" t="s">
        <v>421</v>
      </c>
      <c r="U48">
        <f t="shared" si="5"/>
        <v>7092</v>
      </c>
      <c r="W48" t="s">
        <v>969</v>
      </c>
      <c r="X48">
        <v>46</v>
      </c>
      <c r="Y48" t="s">
        <v>380</v>
      </c>
      <c r="Z48" t="s">
        <v>381</v>
      </c>
      <c r="AA48">
        <v>1E-3</v>
      </c>
      <c r="AB48">
        <v>0</v>
      </c>
      <c r="AC48" t="s">
        <v>969</v>
      </c>
      <c r="AD48">
        <v>7092</v>
      </c>
      <c r="AE48">
        <v>3</v>
      </c>
      <c r="AF48" t="s">
        <v>421</v>
      </c>
    </row>
    <row r="49" spans="1:32" hidden="1" x14ac:dyDescent="0.3">
      <c r="A49" s="1">
        <f t="shared" si="0"/>
        <v>0</v>
      </c>
      <c r="B49">
        <f t="shared" si="1"/>
        <v>0</v>
      </c>
      <c r="C49">
        <f t="shared" si="2"/>
        <v>0</v>
      </c>
      <c r="D49">
        <v>7095</v>
      </c>
      <c r="E49" s="16" t="s">
        <v>689</v>
      </c>
      <c r="F49" t="s">
        <v>596</v>
      </c>
      <c r="G49">
        <f t="shared" si="3"/>
        <v>7094</v>
      </c>
      <c r="I49">
        <f t="shared" si="4"/>
        <v>7094</v>
      </c>
      <c r="K49" t="s">
        <v>970</v>
      </c>
      <c r="L49">
        <v>47</v>
      </c>
      <c r="M49" t="s">
        <v>380</v>
      </c>
      <c r="N49" t="s">
        <v>381</v>
      </c>
      <c r="O49">
        <v>1E-3</v>
      </c>
      <c r="P49">
        <v>0</v>
      </c>
      <c r="Q49" t="s">
        <v>970</v>
      </c>
      <c r="R49">
        <v>7094</v>
      </c>
      <c r="S49">
        <v>3</v>
      </c>
      <c r="T49" t="s">
        <v>421</v>
      </c>
      <c r="U49">
        <f t="shared" si="5"/>
        <v>7094</v>
      </c>
      <c r="W49" t="s">
        <v>970</v>
      </c>
      <c r="X49">
        <v>47</v>
      </c>
      <c r="Y49" t="s">
        <v>380</v>
      </c>
      <c r="Z49" t="s">
        <v>381</v>
      </c>
      <c r="AA49">
        <v>1E-3</v>
      </c>
      <c r="AB49">
        <v>0</v>
      </c>
      <c r="AC49" t="s">
        <v>970</v>
      </c>
      <c r="AD49">
        <v>7094</v>
      </c>
      <c r="AE49">
        <v>3</v>
      </c>
      <c r="AF49" t="s">
        <v>421</v>
      </c>
    </row>
    <row r="50" spans="1:32" hidden="1" x14ac:dyDescent="0.3">
      <c r="A50" s="1">
        <f t="shared" si="0"/>
        <v>0</v>
      </c>
      <c r="B50">
        <f t="shared" si="1"/>
        <v>0</v>
      </c>
      <c r="C50">
        <f t="shared" si="2"/>
        <v>0</v>
      </c>
      <c r="D50">
        <v>7097</v>
      </c>
      <c r="E50" s="16" t="s">
        <v>690</v>
      </c>
      <c r="F50" t="s">
        <v>597</v>
      </c>
      <c r="G50">
        <f t="shared" si="3"/>
        <v>7096</v>
      </c>
      <c r="I50">
        <f t="shared" si="4"/>
        <v>7096</v>
      </c>
      <c r="K50" t="s">
        <v>971</v>
      </c>
      <c r="L50">
        <v>48</v>
      </c>
      <c r="M50" t="s">
        <v>380</v>
      </c>
      <c r="N50" t="s">
        <v>381</v>
      </c>
      <c r="O50">
        <v>1E-3</v>
      </c>
      <c r="P50">
        <v>0</v>
      </c>
      <c r="Q50" t="s">
        <v>971</v>
      </c>
      <c r="R50">
        <v>7096</v>
      </c>
      <c r="S50">
        <v>3</v>
      </c>
      <c r="T50" t="s">
        <v>421</v>
      </c>
      <c r="U50">
        <f t="shared" si="5"/>
        <v>7096</v>
      </c>
      <c r="W50" t="s">
        <v>971</v>
      </c>
      <c r="X50">
        <v>48</v>
      </c>
      <c r="Y50" t="s">
        <v>380</v>
      </c>
      <c r="Z50" t="s">
        <v>381</v>
      </c>
      <c r="AA50">
        <v>1E-3</v>
      </c>
      <c r="AB50">
        <v>0</v>
      </c>
      <c r="AC50" t="s">
        <v>971</v>
      </c>
      <c r="AD50">
        <v>7096</v>
      </c>
      <c r="AE50">
        <v>3</v>
      </c>
      <c r="AF50" t="s">
        <v>421</v>
      </c>
    </row>
    <row r="51" spans="1:32" hidden="1" x14ac:dyDescent="0.3">
      <c r="A51" s="1">
        <f t="shared" si="0"/>
        <v>0</v>
      </c>
      <c r="B51">
        <f t="shared" si="1"/>
        <v>0</v>
      </c>
      <c r="C51">
        <f t="shared" si="2"/>
        <v>0</v>
      </c>
      <c r="D51">
        <v>7099</v>
      </c>
      <c r="E51" s="16" t="s">
        <v>691</v>
      </c>
      <c r="F51" t="s">
        <v>598</v>
      </c>
      <c r="G51">
        <f t="shared" si="3"/>
        <v>7098</v>
      </c>
      <c r="I51">
        <f t="shared" si="4"/>
        <v>7098</v>
      </c>
      <c r="K51" t="s">
        <v>972</v>
      </c>
      <c r="L51">
        <v>49</v>
      </c>
      <c r="M51" t="s">
        <v>380</v>
      </c>
      <c r="N51" t="s">
        <v>381</v>
      </c>
      <c r="O51">
        <v>1E-3</v>
      </c>
      <c r="P51">
        <v>0</v>
      </c>
      <c r="Q51" t="s">
        <v>972</v>
      </c>
      <c r="R51">
        <v>7098</v>
      </c>
      <c r="S51">
        <v>3</v>
      </c>
      <c r="T51" t="s">
        <v>421</v>
      </c>
      <c r="U51">
        <f t="shared" si="5"/>
        <v>7098</v>
      </c>
      <c r="W51" t="s">
        <v>972</v>
      </c>
      <c r="X51">
        <v>49</v>
      </c>
      <c r="Y51" t="s">
        <v>380</v>
      </c>
      <c r="Z51" t="s">
        <v>381</v>
      </c>
      <c r="AA51">
        <v>1E-3</v>
      </c>
      <c r="AB51">
        <v>0</v>
      </c>
      <c r="AC51" t="s">
        <v>972</v>
      </c>
      <c r="AD51">
        <v>7098</v>
      </c>
      <c r="AE51">
        <v>3</v>
      </c>
      <c r="AF51" t="s">
        <v>421</v>
      </c>
    </row>
    <row r="52" spans="1:32" hidden="1" x14ac:dyDescent="0.3">
      <c r="A52" s="1">
        <f t="shared" si="0"/>
        <v>0</v>
      </c>
      <c r="B52">
        <f t="shared" si="1"/>
        <v>0</v>
      </c>
      <c r="C52">
        <f t="shared" si="2"/>
        <v>0</v>
      </c>
      <c r="D52">
        <v>7101</v>
      </c>
      <c r="E52" s="16" t="s">
        <v>692</v>
      </c>
      <c r="F52" t="s">
        <v>599</v>
      </c>
      <c r="G52">
        <f t="shared" si="3"/>
        <v>7100</v>
      </c>
      <c r="I52">
        <f t="shared" si="4"/>
        <v>7100</v>
      </c>
      <c r="K52" t="s">
        <v>973</v>
      </c>
      <c r="L52">
        <v>50</v>
      </c>
      <c r="M52" t="s">
        <v>380</v>
      </c>
      <c r="N52" t="s">
        <v>381</v>
      </c>
      <c r="O52">
        <v>1E-3</v>
      </c>
      <c r="P52">
        <v>0</v>
      </c>
      <c r="Q52" t="s">
        <v>973</v>
      </c>
      <c r="R52">
        <v>7100</v>
      </c>
      <c r="S52">
        <v>3</v>
      </c>
      <c r="T52" t="s">
        <v>421</v>
      </c>
      <c r="U52">
        <f t="shared" si="5"/>
        <v>7100</v>
      </c>
      <c r="W52" t="s">
        <v>973</v>
      </c>
      <c r="X52">
        <v>50</v>
      </c>
      <c r="Y52" t="s">
        <v>380</v>
      </c>
      <c r="Z52" t="s">
        <v>381</v>
      </c>
      <c r="AA52">
        <v>1E-3</v>
      </c>
      <c r="AB52">
        <v>0</v>
      </c>
      <c r="AC52" t="s">
        <v>973</v>
      </c>
      <c r="AD52">
        <v>7100</v>
      </c>
      <c r="AE52">
        <v>3</v>
      </c>
      <c r="AF52" t="s">
        <v>421</v>
      </c>
    </row>
    <row r="53" spans="1:32" hidden="1" x14ac:dyDescent="0.3">
      <c r="A53" s="1">
        <f t="shared" si="0"/>
        <v>0</v>
      </c>
      <c r="B53">
        <f t="shared" si="1"/>
        <v>0</v>
      </c>
      <c r="C53">
        <f t="shared" si="2"/>
        <v>0</v>
      </c>
      <c r="D53">
        <v>7103</v>
      </c>
      <c r="E53" s="16" t="s">
        <v>693</v>
      </c>
      <c r="F53" t="s">
        <v>600</v>
      </c>
      <c r="G53">
        <f t="shared" si="3"/>
        <v>7102</v>
      </c>
      <c r="I53">
        <f t="shared" si="4"/>
        <v>7102</v>
      </c>
      <c r="K53" t="s">
        <v>974</v>
      </c>
      <c r="L53">
        <v>51</v>
      </c>
      <c r="M53" t="s">
        <v>380</v>
      </c>
      <c r="N53" t="s">
        <v>381</v>
      </c>
      <c r="O53">
        <v>1E-3</v>
      </c>
      <c r="P53">
        <v>0</v>
      </c>
      <c r="Q53" t="s">
        <v>974</v>
      </c>
      <c r="R53">
        <v>7102</v>
      </c>
      <c r="S53">
        <v>3</v>
      </c>
      <c r="T53" t="s">
        <v>421</v>
      </c>
      <c r="U53">
        <f t="shared" si="5"/>
        <v>7102</v>
      </c>
      <c r="W53" t="s">
        <v>974</v>
      </c>
      <c r="X53">
        <v>51</v>
      </c>
      <c r="Y53" t="s">
        <v>380</v>
      </c>
      <c r="Z53" t="s">
        <v>381</v>
      </c>
      <c r="AA53">
        <v>1E-3</v>
      </c>
      <c r="AB53">
        <v>0</v>
      </c>
      <c r="AC53" t="s">
        <v>974</v>
      </c>
      <c r="AD53">
        <v>7102</v>
      </c>
      <c r="AE53">
        <v>3</v>
      </c>
      <c r="AF53" t="s">
        <v>421</v>
      </c>
    </row>
    <row r="54" spans="1:32" hidden="1" x14ac:dyDescent="0.3">
      <c r="A54" s="1">
        <f t="shared" si="0"/>
        <v>0</v>
      </c>
      <c r="B54">
        <f t="shared" si="1"/>
        <v>0</v>
      </c>
      <c r="C54">
        <f t="shared" si="2"/>
        <v>0</v>
      </c>
      <c r="D54">
        <v>7105</v>
      </c>
      <c r="E54" s="16" t="s">
        <v>694</v>
      </c>
      <c r="F54" t="s">
        <v>601</v>
      </c>
      <c r="G54">
        <f t="shared" si="3"/>
        <v>7104</v>
      </c>
      <c r="I54">
        <f t="shared" si="4"/>
        <v>7104</v>
      </c>
      <c r="K54" t="s">
        <v>975</v>
      </c>
      <c r="L54">
        <v>52</v>
      </c>
      <c r="M54" t="s">
        <v>380</v>
      </c>
      <c r="N54" t="s">
        <v>381</v>
      </c>
      <c r="O54">
        <v>1E-3</v>
      </c>
      <c r="P54">
        <v>0</v>
      </c>
      <c r="Q54" t="s">
        <v>975</v>
      </c>
      <c r="R54">
        <v>7104</v>
      </c>
      <c r="S54">
        <v>3</v>
      </c>
      <c r="T54" t="s">
        <v>421</v>
      </c>
      <c r="U54">
        <f t="shared" si="5"/>
        <v>7104</v>
      </c>
      <c r="W54" t="s">
        <v>975</v>
      </c>
      <c r="X54">
        <v>52</v>
      </c>
      <c r="Y54" t="s">
        <v>380</v>
      </c>
      <c r="Z54" t="s">
        <v>381</v>
      </c>
      <c r="AA54">
        <v>1E-3</v>
      </c>
      <c r="AB54">
        <v>0</v>
      </c>
      <c r="AC54" t="s">
        <v>975</v>
      </c>
      <c r="AD54">
        <v>7104</v>
      </c>
      <c r="AE54">
        <v>3</v>
      </c>
      <c r="AF54" t="s">
        <v>421</v>
      </c>
    </row>
    <row r="55" spans="1:32" hidden="1" x14ac:dyDescent="0.3">
      <c r="A55" s="1">
        <f t="shared" si="0"/>
        <v>0</v>
      </c>
      <c r="B55">
        <f t="shared" si="1"/>
        <v>0</v>
      </c>
      <c r="C55">
        <f t="shared" si="2"/>
        <v>0</v>
      </c>
      <c r="D55">
        <v>7107</v>
      </c>
      <c r="E55" s="16" t="s">
        <v>695</v>
      </c>
      <c r="F55" t="s">
        <v>602</v>
      </c>
      <c r="G55">
        <f t="shared" si="3"/>
        <v>7106</v>
      </c>
      <c r="I55">
        <f t="shared" si="4"/>
        <v>7106</v>
      </c>
      <c r="K55" t="s">
        <v>602</v>
      </c>
      <c r="L55">
        <v>53</v>
      </c>
      <c r="M55" t="s">
        <v>380</v>
      </c>
      <c r="N55" t="s">
        <v>381</v>
      </c>
      <c r="O55">
        <v>1</v>
      </c>
      <c r="P55">
        <v>0</v>
      </c>
      <c r="Q55" t="s">
        <v>602</v>
      </c>
      <c r="R55">
        <v>7106</v>
      </c>
      <c r="S55">
        <v>3</v>
      </c>
      <c r="T55" t="s">
        <v>421</v>
      </c>
      <c r="U55">
        <f t="shared" si="5"/>
        <v>7106</v>
      </c>
      <c r="W55" t="s">
        <v>602</v>
      </c>
      <c r="X55">
        <v>53</v>
      </c>
      <c r="Y55" t="s">
        <v>380</v>
      </c>
      <c r="Z55" t="s">
        <v>381</v>
      </c>
      <c r="AA55">
        <v>1</v>
      </c>
      <c r="AB55">
        <v>0</v>
      </c>
      <c r="AC55" t="s">
        <v>602</v>
      </c>
      <c r="AD55">
        <v>7106</v>
      </c>
      <c r="AE55">
        <v>3</v>
      </c>
      <c r="AF55" t="s">
        <v>421</v>
      </c>
    </row>
    <row r="56" spans="1:32" hidden="1" x14ac:dyDescent="0.3">
      <c r="A56" s="1">
        <f t="shared" si="0"/>
        <v>0</v>
      </c>
      <c r="B56">
        <f t="shared" si="1"/>
        <v>0</v>
      </c>
      <c r="C56">
        <f t="shared" si="2"/>
        <v>0</v>
      </c>
      <c r="D56">
        <v>7109</v>
      </c>
      <c r="E56" s="16" t="s">
        <v>696</v>
      </c>
      <c r="F56" t="s">
        <v>603</v>
      </c>
      <c r="G56">
        <f t="shared" si="3"/>
        <v>7108</v>
      </c>
      <c r="I56">
        <f t="shared" si="4"/>
        <v>7108</v>
      </c>
      <c r="K56" t="s">
        <v>976</v>
      </c>
      <c r="L56">
        <v>54</v>
      </c>
      <c r="M56" t="s">
        <v>380</v>
      </c>
      <c r="N56" t="s">
        <v>381</v>
      </c>
      <c r="O56">
        <v>1</v>
      </c>
      <c r="P56">
        <v>0</v>
      </c>
      <c r="Q56" t="s">
        <v>976</v>
      </c>
      <c r="R56">
        <v>7108</v>
      </c>
      <c r="S56">
        <v>3</v>
      </c>
      <c r="T56" t="s">
        <v>421</v>
      </c>
      <c r="U56">
        <f t="shared" si="5"/>
        <v>7108</v>
      </c>
      <c r="W56" t="s">
        <v>976</v>
      </c>
      <c r="X56">
        <v>54</v>
      </c>
      <c r="Y56" t="s">
        <v>380</v>
      </c>
      <c r="Z56" t="s">
        <v>381</v>
      </c>
      <c r="AA56">
        <v>1</v>
      </c>
      <c r="AB56">
        <v>0</v>
      </c>
      <c r="AC56" t="s">
        <v>976</v>
      </c>
      <c r="AD56">
        <v>7108</v>
      </c>
      <c r="AE56">
        <v>3</v>
      </c>
      <c r="AF56" t="s">
        <v>421</v>
      </c>
    </row>
    <row r="57" spans="1:32" hidden="1" x14ac:dyDescent="0.3">
      <c r="A57" s="1">
        <f t="shared" si="0"/>
        <v>0</v>
      </c>
      <c r="B57">
        <f t="shared" si="1"/>
        <v>0</v>
      </c>
      <c r="C57">
        <f t="shared" si="2"/>
        <v>0</v>
      </c>
      <c r="D57">
        <v>7111</v>
      </c>
      <c r="E57" s="16" t="s">
        <v>697</v>
      </c>
      <c r="F57" t="s">
        <v>604</v>
      </c>
      <c r="G57">
        <f t="shared" si="3"/>
        <v>7110</v>
      </c>
      <c r="I57">
        <f t="shared" si="4"/>
        <v>7110</v>
      </c>
      <c r="K57" t="s">
        <v>977</v>
      </c>
      <c r="L57">
        <v>55</v>
      </c>
      <c r="M57" t="s">
        <v>380</v>
      </c>
      <c r="N57" t="s">
        <v>381</v>
      </c>
      <c r="O57">
        <v>1</v>
      </c>
      <c r="P57">
        <v>0</v>
      </c>
      <c r="Q57" t="s">
        <v>977</v>
      </c>
      <c r="R57">
        <v>7110</v>
      </c>
      <c r="S57">
        <v>3</v>
      </c>
      <c r="T57" t="s">
        <v>421</v>
      </c>
      <c r="U57">
        <f t="shared" si="5"/>
        <v>7110</v>
      </c>
      <c r="W57" t="s">
        <v>977</v>
      </c>
      <c r="X57">
        <v>55</v>
      </c>
      <c r="Y57" t="s">
        <v>380</v>
      </c>
      <c r="Z57" t="s">
        <v>381</v>
      </c>
      <c r="AA57">
        <v>1</v>
      </c>
      <c r="AB57">
        <v>0</v>
      </c>
      <c r="AC57" t="s">
        <v>977</v>
      </c>
      <c r="AD57">
        <v>7110</v>
      </c>
      <c r="AE57">
        <v>3</v>
      </c>
      <c r="AF57" t="s">
        <v>421</v>
      </c>
    </row>
    <row r="58" spans="1:32" hidden="1" x14ac:dyDescent="0.3">
      <c r="A58" s="1">
        <f t="shared" si="0"/>
        <v>0</v>
      </c>
      <c r="B58">
        <f t="shared" si="1"/>
        <v>0</v>
      </c>
      <c r="C58">
        <f t="shared" si="2"/>
        <v>0</v>
      </c>
      <c r="D58">
        <v>7113</v>
      </c>
      <c r="E58" s="16" t="s">
        <v>698</v>
      </c>
      <c r="F58" t="s">
        <v>605</v>
      </c>
      <c r="G58">
        <f t="shared" si="3"/>
        <v>7112</v>
      </c>
      <c r="I58">
        <f t="shared" si="4"/>
        <v>7112</v>
      </c>
      <c r="K58" t="s">
        <v>978</v>
      </c>
      <c r="L58">
        <v>56</v>
      </c>
      <c r="M58" t="s">
        <v>380</v>
      </c>
      <c r="N58" t="s">
        <v>381</v>
      </c>
      <c r="O58">
        <v>1</v>
      </c>
      <c r="P58">
        <v>0</v>
      </c>
      <c r="Q58" t="s">
        <v>978</v>
      </c>
      <c r="R58">
        <v>7112</v>
      </c>
      <c r="S58">
        <v>3</v>
      </c>
      <c r="T58" t="s">
        <v>421</v>
      </c>
      <c r="U58">
        <f t="shared" si="5"/>
        <v>7112</v>
      </c>
      <c r="W58" t="s">
        <v>978</v>
      </c>
      <c r="X58">
        <v>56</v>
      </c>
      <c r="Y58" t="s">
        <v>380</v>
      </c>
      <c r="Z58" t="s">
        <v>381</v>
      </c>
      <c r="AA58">
        <v>1</v>
      </c>
      <c r="AB58">
        <v>0</v>
      </c>
      <c r="AC58" t="s">
        <v>978</v>
      </c>
      <c r="AD58">
        <v>7112</v>
      </c>
      <c r="AE58">
        <v>3</v>
      </c>
      <c r="AF58" t="s">
        <v>421</v>
      </c>
    </row>
    <row r="59" spans="1:32" x14ac:dyDescent="0.3">
      <c r="A59" s="1" t="str">
        <f t="shared" si="0"/>
        <v>Used</v>
      </c>
      <c r="B59" t="str">
        <f t="shared" si="1"/>
        <v>Used</v>
      </c>
      <c r="C59" t="str">
        <f t="shared" si="2"/>
        <v>Used</v>
      </c>
      <c r="D59">
        <v>7115</v>
      </c>
      <c r="E59" s="16" t="s">
        <v>699</v>
      </c>
      <c r="F59" t="s">
        <v>606</v>
      </c>
      <c r="G59">
        <f t="shared" si="3"/>
        <v>7114</v>
      </c>
      <c r="I59">
        <f t="shared" si="4"/>
        <v>7114</v>
      </c>
      <c r="J59" t="s">
        <v>1018</v>
      </c>
      <c r="K59" s="30" t="s">
        <v>979</v>
      </c>
      <c r="L59" s="30">
        <v>57</v>
      </c>
      <c r="M59" s="30" t="s">
        <v>380</v>
      </c>
      <c r="N59" s="30" t="s">
        <v>381</v>
      </c>
      <c r="O59" s="30">
        <v>1E-3</v>
      </c>
      <c r="P59" s="30">
        <v>0</v>
      </c>
      <c r="Q59" s="30" t="s">
        <v>979</v>
      </c>
      <c r="R59" s="30">
        <v>7114</v>
      </c>
      <c r="S59" s="30">
        <v>3</v>
      </c>
      <c r="T59" s="30" t="s">
        <v>421</v>
      </c>
      <c r="U59">
        <f t="shared" si="5"/>
        <v>7114</v>
      </c>
      <c r="V59" t="s">
        <v>1018</v>
      </c>
      <c r="W59" s="30" t="s">
        <v>979</v>
      </c>
      <c r="X59" s="30">
        <v>57</v>
      </c>
      <c r="Y59" s="30" t="s">
        <v>380</v>
      </c>
      <c r="Z59" s="30" t="s">
        <v>381</v>
      </c>
      <c r="AA59" s="30">
        <v>1E-3</v>
      </c>
      <c r="AB59" s="30">
        <v>0</v>
      </c>
      <c r="AC59" s="30" t="s">
        <v>979</v>
      </c>
      <c r="AD59" s="30">
        <v>7114</v>
      </c>
      <c r="AE59" s="30">
        <v>3</v>
      </c>
      <c r="AF59" s="30" t="s">
        <v>421</v>
      </c>
    </row>
    <row r="60" spans="1:32" x14ac:dyDescent="0.3">
      <c r="A60" s="1" t="str">
        <f t="shared" si="0"/>
        <v>Used</v>
      </c>
      <c r="B60" t="str">
        <f t="shared" si="1"/>
        <v>Used</v>
      </c>
      <c r="C60" t="str">
        <f t="shared" si="2"/>
        <v>Used</v>
      </c>
      <c r="D60">
        <v>7117</v>
      </c>
      <c r="E60" s="16" t="s">
        <v>700</v>
      </c>
      <c r="F60" t="s">
        <v>607</v>
      </c>
      <c r="G60">
        <f t="shared" si="3"/>
        <v>7116</v>
      </c>
      <c r="I60">
        <f t="shared" si="4"/>
        <v>7116</v>
      </c>
      <c r="J60" t="s">
        <v>1018</v>
      </c>
      <c r="K60" s="30" t="s">
        <v>980</v>
      </c>
      <c r="L60" s="30">
        <v>58</v>
      </c>
      <c r="M60" s="30" t="s">
        <v>380</v>
      </c>
      <c r="N60" s="30" t="s">
        <v>381</v>
      </c>
      <c r="O60" s="30">
        <v>1E-3</v>
      </c>
      <c r="P60" s="30">
        <v>0</v>
      </c>
      <c r="Q60" s="30" t="s">
        <v>980</v>
      </c>
      <c r="R60" s="30">
        <v>7116</v>
      </c>
      <c r="S60" s="30">
        <v>3</v>
      </c>
      <c r="T60" s="30" t="s">
        <v>421</v>
      </c>
      <c r="U60">
        <f t="shared" si="5"/>
        <v>7116</v>
      </c>
      <c r="V60" t="s">
        <v>1018</v>
      </c>
      <c r="W60" s="30" t="s">
        <v>980</v>
      </c>
      <c r="X60" s="30">
        <v>58</v>
      </c>
      <c r="Y60" s="30" t="s">
        <v>380</v>
      </c>
      <c r="Z60" s="30" t="s">
        <v>381</v>
      </c>
      <c r="AA60" s="30">
        <v>1E-3</v>
      </c>
      <c r="AB60" s="30">
        <v>0</v>
      </c>
      <c r="AC60" s="30" t="s">
        <v>980</v>
      </c>
      <c r="AD60" s="30">
        <v>7116</v>
      </c>
      <c r="AE60" s="30">
        <v>3</v>
      </c>
      <c r="AF60" s="30" t="s">
        <v>421</v>
      </c>
    </row>
    <row r="61" spans="1:32" x14ac:dyDescent="0.3">
      <c r="A61" s="1" t="str">
        <f t="shared" si="0"/>
        <v>Used</v>
      </c>
      <c r="B61" t="str">
        <f t="shared" si="1"/>
        <v>Used</v>
      </c>
      <c r="C61" t="str">
        <f t="shared" si="2"/>
        <v>Used</v>
      </c>
      <c r="D61">
        <v>7119</v>
      </c>
      <c r="E61" s="16" t="s">
        <v>701</v>
      </c>
      <c r="F61" t="s">
        <v>608</v>
      </c>
      <c r="G61">
        <f t="shared" si="3"/>
        <v>7118</v>
      </c>
      <c r="I61">
        <f t="shared" si="4"/>
        <v>7118</v>
      </c>
      <c r="J61" t="s">
        <v>1018</v>
      </c>
      <c r="K61" s="30" t="s">
        <v>981</v>
      </c>
      <c r="L61" s="30">
        <v>59</v>
      </c>
      <c r="M61" s="30" t="s">
        <v>380</v>
      </c>
      <c r="N61" s="30" t="s">
        <v>381</v>
      </c>
      <c r="O61" s="30">
        <v>1E-3</v>
      </c>
      <c r="P61" s="30">
        <v>0</v>
      </c>
      <c r="Q61" s="30" t="s">
        <v>981</v>
      </c>
      <c r="R61" s="30">
        <v>7118</v>
      </c>
      <c r="S61" s="30">
        <v>3</v>
      </c>
      <c r="T61" s="30" t="s">
        <v>421</v>
      </c>
      <c r="U61">
        <f t="shared" si="5"/>
        <v>7118</v>
      </c>
      <c r="V61" t="s">
        <v>1018</v>
      </c>
      <c r="W61" s="30" t="s">
        <v>981</v>
      </c>
      <c r="X61" s="30">
        <v>59</v>
      </c>
      <c r="Y61" s="30" t="s">
        <v>380</v>
      </c>
      <c r="Z61" s="30" t="s">
        <v>381</v>
      </c>
      <c r="AA61" s="30">
        <v>1E-3</v>
      </c>
      <c r="AB61" s="30">
        <v>0</v>
      </c>
      <c r="AC61" s="30" t="s">
        <v>981</v>
      </c>
      <c r="AD61" s="30">
        <v>7118</v>
      </c>
      <c r="AE61" s="30">
        <v>3</v>
      </c>
      <c r="AF61" s="30" t="s">
        <v>421</v>
      </c>
    </row>
    <row r="62" spans="1:32" hidden="1" x14ac:dyDescent="0.3">
      <c r="A62" s="1">
        <f t="shared" si="0"/>
        <v>0</v>
      </c>
      <c r="B62">
        <f t="shared" si="1"/>
        <v>0</v>
      </c>
      <c r="C62">
        <f t="shared" si="2"/>
        <v>0</v>
      </c>
      <c r="D62">
        <v>7121</v>
      </c>
      <c r="E62" s="16" t="s">
        <v>702</v>
      </c>
      <c r="F62" t="s">
        <v>609</v>
      </c>
      <c r="G62">
        <f t="shared" si="3"/>
        <v>7120</v>
      </c>
      <c r="I62">
        <f t="shared" si="4"/>
        <v>7120</v>
      </c>
      <c r="K62" t="s">
        <v>982</v>
      </c>
      <c r="L62">
        <v>60</v>
      </c>
      <c r="M62" t="s">
        <v>380</v>
      </c>
      <c r="N62" t="s">
        <v>381</v>
      </c>
      <c r="O62">
        <v>1E-3</v>
      </c>
      <c r="P62">
        <v>0</v>
      </c>
      <c r="Q62" t="s">
        <v>982</v>
      </c>
      <c r="R62">
        <v>7120</v>
      </c>
      <c r="S62">
        <v>3</v>
      </c>
      <c r="T62" t="s">
        <v>421</v>
      </c>
      <c r="U62">
        <f t="shared" si="5"/>
        <v>7120</v>
      </c>
      <c r="W62" t="s">
        <v>982</v>
      </c>
      <c r="X62">
        <v>60</v>
      </c>
      <c r="Y62" t="s">
        <v>380</v>
      </c>
      <c r="Z62" t="s">
        <v>381</v>
      </c>
      <c r="AA62">
        <v>1E-3</v>
      </c>
      <c r="AB62">
        <v>0</v>
      </c>
      <c r="AC62" t="s">
        <v>982</v>
      </c>
      <c r="AD62">
        <v>7120</v>
      </c>
      <c r="AE62">
        <v>3</v>
      </c>
      <c r="AF62" t="s">
        <v>421</v>
      </c>
    </row>
    <row r="63" spans="1:32" hidden="1" x14ac:dyDescent="0.3">
      <c r="A63" s="1">
        <f t="shared" si="0"/>
        <v>0</v>
      </c>
      <c r="B63">
        <f t="shared" si="1"/>
        <v>0</v>
      </c>
      <c r="C63">
        <f t="shared" si="2"/>
        <v>0</v>
      </c>
      <c r="D63">
        <v>7123</v>
      </c>
      <c r="E63" s="16" t="s">
        <v>703</v>
      </c>
      <c r="F63" t="s">
        <v>610</v>
      </c>
      <c r="G63">
        <f t="shared" si="3"/>
        <v>7122</v>
      </c>
      <c r="I63">
        <f t="shared" si="4"/>
        <v>7122</v>
      </c>
      <c r="K63" t="s">
        <v>983</v>
      </c>
      <c r="L63">
        <v>61</v>
      </c>
      <c r="M63" t="s">
        <v>380</v>
      </c>
      <c r="N63" t="s">
        <v>381</v>
      </c>
      <c r="O63">
        <v>1E-3</v>
      </c>
      <c r="P63">
        <v>0</v>
      </c>
      <c r="Q63" t="s">
        <v>983</v>
      </c>
      <c r="R63">
        <v>7122</v>
      </c>
      <c r="S63">
        <v>3</v>
      </c>
      <c r="T63" t="s">
        <v>421</v>
      </c>
      <c r="U63">
        <f t="shared" si="5"/>
        <v>7122</v>
      </c>
      <c r="W63" t="s">
        <v>983</v>
      </c>
      <c r="X63">
        <v>61</v>
      </c>
      <c r="Y63" t="s">
        <v>380</v>
      </c>
      <c r="Z63" t="s">
        <v>381</v>
      </c>
      <c r="AA63">
        <v>1E-3</v>
      </c>
      <c r="AB63">
        <v>0</v>
      </c>
      <c r="AC63" t="s">
        <v>983</v>
      </c>
      <c r="AD63">
        <v>7122</v>
      </c>
      <c r="AE63">
        <v>3</v>
      </c>
      <c r="AF63" t="s">
        <v>421</v>
      </c>
    </row>
    <row r="64" spans="1:32" hidden="1" x14ac:dyDescent="0.3">
      <c r="A64" s="1">
        <f t="shared" si="0"/>
        <v>0</v>
      </c>
      <c r="B64">
        <f t="shared" si="1"/>
        <v>0</v>
      </c>
      <c r="C64">
        <f t="shared" si="2"/>
        <v>0</v>
      </c>
      <c r="D64">
        <v>7125</v>
      </c>
      <c r="E64" s="16" t="s">
        <v>704</v>
      </c>
      <c r="F64" t="s">
        <v>611</v>
      </c>
      <c r="G64">
        <f t="shared" si="3"/>
        <v>7124</v>
      </c>
      <c r="I64">
        <f t="shared" si="4"/>
        <v>7124</v>
      </c>
      <c r="K64" t="s">
        <v>984</v>
      </c>
      <c r="L64">
        <v>62</v>
      </c>
      <c r="M64" t="s">
        <v>380</v>
      </c>
      <c r="N64" t="s">
        <v>381</v>
      </c>
      <c r="O64">
        <v>1E-3</v>
      </c>
      <c r="P64">
        <v>0</v>
      </c>
      <c r="Q64" t="s">
        <v>984</v>
      </c>
      <c r="R64">
        <v>7124</v>
      </c>
      <c r="S64">
        <v>3</v>
      </c>
      <c r="T64" t="s">
        <v>421</v>
      </c>
      <c r="U64">
        <f t="shared" si="5"/>
        <v>7124</v>
      </c>
      <c r="W64" t="s">
        <v>984</v>
      </c>
      <c r="X64">
        <v>62</v>
      </c>
      <c r="Y64" t="s">
        <v>380</v>
      </c>
      <c r="Z64" t="s">
        <v>381</v>
      </c>
      <c r="AA64">
        <v>1E-3</v>
      </c>
      <c r="AB64">
        <v>0</v>
      </c>
      <c r="AC64" t="s">
        <v>984</v>
      </c>
      <c r="AD64">
        <v>7124</v>
      </c>
      <c r="AE64">
        <v>3</v>
      </c>
      <c r="AF64" t="s">
        <v>421</v>
      </c>
    </row>
    <row r="65" spans="1:32" x14ac:dyDescent="0.3">
      <c r="A65" s="1" t="str">
        <f t="shared" si="0"/>
        <v>Used</v>
      </c>
      <c r="B65" t="str">
        <f t="shared" si="1"/>
        <v>Used</v>
      </c>
      <c r="C65" t="str">
        <f t="shared" si="2"/>
        <v>Used</v>
      </c>
      <c r="D65">
        <v>7127</v>
      </c>
      <c r="E65" s="16" t="s">
        <v>705</v>
      </c>
      <c r="F65" t="s">
        <v>612</v>
      </c>
      <c r="G65">
        <f t="shared" si="3"/>
        <v>7126</v>
      </c>
      <c r="I65">
        <f t="shared" si="4"/>
        <v>7126</v>
      </c>
      <c r="J65" t="s">
        <v>1018</v>
      </c>
      <c r="K65" s="30" t="s">
        <v>985</v>
      </c>
      <c r="L65" s="30">
        <v>63</v>
      </c>
      <c r="M65" s="30" t="s">
        <v>380</v>
      </c>
      <c r="N65" s="30" t="s">
        <v>381</v>
      </c>
      <c r="O65" s="30">
        <v>1E-3</v>
      </c>
      <c r="P65" s="30">
        <v>0</v>
      </c>
      <c r="Q65" s="30" t="s">
        <v>985</v>
      </c>
      <c r="R65" s="30">
        <v>7126</v>
      </c>
      <c r="S65" s="30">
        <v>3</v>
      </c>
      <c r="T65" s="30" t="s">
        <v>421</v>
      </c>
      <c r="U65">
        <f t="shared" si="5"/>
        <v>7126</v>
      </c>
      <c r="V65" t="s">
        <v>1018</v>
      </c>
      <c r="W65" s="30" t="s">
        <v>985</v>
      </c>
      <c r="X65" s="30">
        <v>63</v>
      </c>
      <c r="Y65" s="30" t="s">
        <v>380</v>
      </c>
      <c r="Z65" s="30" t="s">
        <v>381</v>
      </c>
      <c r="AA65" s="30">
        <v>1E-3</v>
      </c>
      <c r="AB65" s="30">
        <v>0</v>
      </c>
      <c r="AC65" s="30" t="s">
        <v>985</v>
      </c>
      <c r="AD65" s="30">
        <v>7126</v>
      </c>
      <c r="AE65" s="30">
        <v>3</v>
      </c>
      <c r="AF65" s="30" t="s">
        <v>421</v>
      </c>
    </row>
    <row r="66" spans="1:32" hidden="1" x14ac:dyDescent="0.3">
      <c r="A66" s="1">
        <f t="shared" si="0"/>
        <v>0</v>
      </c>
      <c r="B66">
        <f t="shared" si="1"/>
        <v>0</v>
      </c>
      <c r="C66">
        <f t="shared" si="2"/>
        <v>0</v>
      </c>
      <c r="D66">
        <v>7129</v>
      </c>
      <c r="E66" s="16" t="s">
        <v>706</v>
      </c>
      <c r="F66" t="s">
        <v>613</v>
      </c>
      <c r="G66">
        <f t="shared" si="3"/>
        <v>7128</v>
      </c>
      <c r="I66">
        <f t="shared" si="4"/>
        <v>7128</v>
      </c>
      <c r="K66" t="s">
        <v>986</v>
      </c>
      <c r="L66">
        <v>64</v>
      </c>
      <c r="M66" t="s">
        <v>380</v>
      </c>
      <c r="N66" t="s">
        <v>381</v>
      </c>
      <c r="O66">
        <v>1E-3</v>
      </c>
      <c r="P66">
        <v>0</v>
      </c>
      <c r="Q66" t="s">
        <v>986</v>
      </c>
      <c r="R66">
        <v>7128</v>
      </c>
      <c r="S66">
        <v>3</v>
      </c>
      <c r="T66" t="s">
        <v>421</v>
      </c>
      <c r="U66">
        <f t="shared" si="5"/>
        <v>7128</v>
      </c>
      <c r="W66" t="s">
        <v>986</v>
      </c>
      <c r="X66">
        <v>64</v>
      </c>
      <c r="Y66" t="s">
        <v>380</v>
      </c>
      <c r="Z66" t="s">
        <v>381</v>
      </c>
      <c r="AA66">
        <v>1E-3</v>
      </c>
      <c r="AB66">
        <v>0</v>
      </c>
      <c r="AC66" t="s">
        <v>986</v>
      </c>
      <c r="AD66">
        <v>7128</v>
      </c>
      <c r="AE66">
        <v>3</v>
      </c>
      <c r="AF66" t="s">
        <v>421</v>
      </c>
    </row>
    <row r="67" spans="1:32" hidden="1" x14ac:dyDescent="0.3">
      <c r="A67" s="1">
        <f t="shared" ref="A67:A97" si="6">VLOOKUP(G67,$U$2:$AF$93,2,0)</f>
        <v>0</v>
      </c>
      <c r="B67">
        <f t="shared" ref="B67:B97" si="7">VLOOKUP(G67,$U$2:$AF$93,2,0)</f>
        <v>0</v>
      </c>
      <c r="C67">
        <f t="shared" ref="C67:C97" si="8">VLOOKUP(G67,$I$2:$T$93,2,0)</f>
        <v>0</v>
      </c>
      <c r="D67">
        <v>7131</v>
      </c>
      <c r="E67" s="16" t="s">
        <v>707</v>
      </c>
      <c r="F67" t="s">
        <v>614</v>
      </c>
      <c r="G67">
        <f t="shared" ref="G67:G97" si="9">D67-1</f>
        <v>7130</v>
      </c>
      <c r="I67">
        <f t="shared" ref="I67:I93" si="10">R67</f>
        <v>7130</v>
      </c>
      <c r="K67" t="s">
        <v>987</v>
      </c>
      <c r="L67">
        <v>65</v>
      </c>
      <c r="M67" t="s">
        <v>380</v>
      </c>
      <c r="N67" t="s">
        <v>381</v>
      </c>
      <c r="O67">
        <v>1E-3</v>
      </c>
      <c r="P67">
        <v>0</v>
      </c>
      <c r="Q67" t="s">
        <v>987</v>
      </c>
      <c r="R67">
        <v>7130</v>
      </c>
      <c r="S67">
        <v>3</v>
      </c>
      <c r="T67" t="s">
        <v>421</v>
      </c>
      <c r="U67">
        <f t="shared" ref="U67:U93" si="11">AD67</f>
        <v>7130</v>
      </c>
      <c r="W67" t="s">
        <v>987</v>
      </c>
      <c r="X67">
        <v>65</v>
      </c>
      <c r="Y67" t="s">
        <v>380</v>
      </c>
      <c r="Z67" t="s">
        <v>381</v>
      </c>
      <c r="AA67">
        <v>1E-3</v>
      </c>
      <c r="AB67">
        <v>0</v>
      </c>
      <c r="AC67" t="s">
        <v>987</v>
      </c>
      <c r="AD67">
        <v>7130</v>
      </c>
      <c r="AE67">
        <v>3</v>
      </c>
      <c r="AF67" t="s">
        <v>421</v>
      </c>
    </row>
    <row r="68" spans="1:32" hidden="1" x14ac:dyDescent="0.3">
      <c r="A68" s="1">
        <f t="shared" si="6"/>
        <v>0</v>
      </c>
      <c r="B68">
        <f t="shared" si="7"/>
        <v>0</v>
      </c>
      <c r="C68">
        <f t="shared" si="8"/>
        <v>0</v>
      </c>
      <c r="D68">
        <v>7133</v>
      </c>
      <c r="E68" s="16" t="s">
        <v>708</v>
      </c>
      <c r="F68" t="s">
        <v>615</v>
      </c>
      <c r="G68">
        <f t="shared" si="9"/>
        <v>7132</v>
      </c>
      <c r="I68">
        <f t="shared" si="10"/>
        <v>7132</v>
      </c>
      <c r="K68" t="s">
        <v>988</v>
      </c>
      <c r="L68">
        <v>66</v>
      </c>
      <c r="M68" t="s">
        <v>380</v>
      </c>
      <c r="N68" t="s">
        <v>381</v>
      </c>
      <c r="O68">
        <v>1E-3</v>
      </c>
      <c r="P68">
        <v>0</v>
      </c>
      <c r="Q68" t="s">
        <v>988</v>
      </c>
      <c r="R68">
        <v>7132</v>
      </c>
      <c r="S68">
        <v>3</v>
      </c>
      <c r="T68" t="s">
        <v>421</v>
      </c>
      <c r="U68">
        <f t="shared" si="11"/>
        <v>7132</v>
      </c>
      <c r="W68" t="s">
        <v>988</v>
      </c>
      <c r="X68">
        <v>66</v>
      </c>
      <c r="Y68" t="s">
        <v>380</v>
      </c>
      <c r="Z68" t="s">
        <v>381</v>
      </c>
      <c r="AA68">
        <v>1E-3</v>
      </c>
      <c r="AB68">
        <v>0</v>
      </c>
      <c r="AC68" t="s">
        <v>988</v>
      </c>
      <c r="AD68">
        <v>7132</v>
      </c>
      <c r="AE68">
        <v>3</v>
      </c>
      <c r="AF68" t="s">
        <v>421</v>
      </c>
    </row>
    <row r="69" spans="1:32" hidden="1" x14ac:dyDescent="0.3">
      <c r="A69" s="1">
        <f t="shared" si="6"/>
        <v>0</v>
      </c>
      <c r="B69">
        <f t="shared" si="7"/>
        <v>0</v>
      </c>
      <c r="C69">
        <f t="shared" si="8"/>
        <v>0</v>
      </c>
      <c r="D69">
        <v>7135</v>
      </c>
      <c r="E69" s="16" t="s">
        <v>709</v>
      </c>
      <c r="F69" t="s">
        <v>616</v>
      </c>
      <c r="G69">
        <f t="shared" si="9"/>
        <v>7134</v>
      </c>
      <c r="I69">
        <f t="shared" si="10"/>
        <v>7134</v>
      </c>
      <c r="K69" t="s">
        <v>989</v>
      </c>
      <c r="L69">
        <v>67</v>
      </c>
      <c r="M69" t="s">
        <v>380</v>
      </c>
      <c r="N69" t="s">
        <v>381</v>
      </c>
      <c r="O69">
        <v>1E-3</v>
      </c>
      <c r="P69">
        <v>0</v>
      </c>
      <c r="Q69" t="s">
        <v>989</v>
      </c>
      <c r="R69">
        <v>7134</v>
      </c>
      <c r="S69">
        <v>3</v>
      </c>
      <c r="T69" t="s">
        <v>421</v>
      </c>
      <c r="U69">
        <f t="shared" si="11"/>
        <v>7134</v>
      </c>
      <c r="W69" t="s">
        <v>989</v>
      </c>
      <c r="X69">
        <v>67</v>
      </c>
      <c r="Y69" t="s">
        <v>380</v>
      </c>
      <c r="Z69" t="s">
        <v>381</v>
      </c>
      <c r="AA69">
        <v>1E-3</v>
      </c>
      <c r="AB69">
        <v>0</v>
      </c>
      <c r="AC69" t="s">
        <v>989</v>
      </c>
      <c r="AD69">
        <v>7134</v>
      </c>
      <c r="AE69">
        <v>3</v>
      </c>
      <c r="AF69" t="s">
        <v>421</v>
      </c>
    </row>
    <row r="70" spans="1:32" hidden="1" x14ac:dyDescent="0.3">
      <c r="A70" s="1">
        <f t="shared" si="6"/>
        <v>0</v>
      </c>
      <c r="B70">
        <f t="shared" si="7"/>
        <v>0</v>
      </c>
      <c r="C70">
        <f t="shared" si="8"/>
        <v>0</v>
      </c>
      <c r="D70">
        <v>7137</v>
      </c>
      <c r="E70" s="16" t="s">
        <v>710</v>
      </c>
      <c r="F70" t="s">
        <v>617</v>
      </c>
      <c r="G70">
        <f t="shared" si="9"/>
        <v>7136</v>
      </c>
      <c r="I70">
        <f t="shared" si="10"/>
        <v>7136</v>
      </c>
      <c r="K70" t="s">
        <v>990</v>
      </c>
      <c r="L70">
        <v>68</v>
      </c>
      <c r="M70" t="s">
        <v>380</v>
      </c>
      <c r="N70" t="s">
        <v>381</v>
      </c>
      <c r="O70">
        <v>1E-3</v>
      </c>
      <c r="P70">
        <v>0</v>
      </c>
      <c r="Q70" t="s">
        <v>990</v>
      </c>
      <c r="R70">
        <v>7136</v>
      </c>
      <c r="S70">
        <v>3</v>
      </c>
      <c r="T70" t="s">
        <v>421</v>
      </c>
      <c r="U70">
        <f t="shared" si="11"/>
        <v>7136</v>
      </c>
      <c r="W70" t="s">
        <v>990</v>
      </c>
      <c r="X70">
        <v>68</v>
      </c>
      <c r="Y70" t="s">
        <v>380</v>
      </c>
      <c r="Z70" t="s">
        <v>381</v>
      </c>
      <c r="AA70">
        <v>1E-3</v>
      </c>
      <c r="AB70">
        <v>0</v>
      </c>
      <c r="AC70" t="s">
        <v>990</v>
      </c>
      <c r="AD70">
        <v>7136</v>
      </c>
      <c r="AE70">
        <v>3</v>
      </c>
      <c r="AF70" t="s">
        <v>421</v>
      </c>
    </row>
    <row r="71" spans="1:32" hidden="1" x14ac:dyDescent="0.3">
      <c r="A71" s="1">
        <f t="shared" si="6"/>
        <v>0</v>
      </c>
      <c r="B71">
        <f t="shared" si="7"/>
        <v>0</v>
      </c>
      <c r="C71">
        <f t="shared" si="8"/>
        <v>0</v>
      </c>
      <c r="D71">
        <v>7139</v>
      </c>
      <c r="E71" s="16" t="s">
        <v>711</v>
      </c>
      <c r="F71" t="s">
        <v>618</v>
      </c>
      <c r="G71">
        <f t="shared" si="9"/>
        <v>7138</v>
      </c>
      <c r="I71">
        <f t="shared" si="10"/>
        <v>7138</v>
      </c>
      <c r="K71" t="s">
        <v>991</v>
      </c>
      <c r="L71">
        <v>69</v>
      </c>
      <c r="M71" t="s">
        <v>380</v>
      </c>
      <c r="N71" t="s">
        <v>381</v>
      </c>
      <c r="O71">
        <v>1E-3</v>
      </c>
      <c r="P71">
        <v>0</v>
      </c>
      <c r="Q71" t="s">
        <v>991</v>
      </c>
      <c r="R71">
        <v>7138</v>
      </c>
      <c r="S71">
        <v>3</v>
      </c>
      <c r="T71" t="s">
        <v>421</v>
      </c>
      <c r="U71">
        <f t="shared" si="11"/>
        <v>7138</v>
      </c>
      <c r="W71" t="s">
        <v>991</v>
      </c>
      <c r="X71">
        <v>69</v>
      </c>
      <c r="Y71" t="s">
        <v>380</v>
      </c>
      <c r="Z71" t="s">
        <v>381</v>
      </c>
      <c r="AA71">
        <v>1E-3</v>
      </c>
      <c r="AB71">
        <v>0</v>
      </c>
      <c r="AC71" t="s">
        <v>991</v>
      </c>
      <c r="AD71">
        <v>7138</v>
      </c>
      <c r="AE71">
        <v>3</v>
      </c>
      <c r="AF71" t="s">
        <v>421</v>
      </c>
    </row>
    <row r="72" spans="1:32" hidden="1" x14ac:dyDescent="0.3">
      <c r="A72" s="1">
        <f t="shared" si="6"/>
        <v>0</v>
      </c>
      <c r="B72">
        <f t="shared" si="7"/>
        <v>0</v>
      </c>
      <c r="C72">
        <f t="shared" si="8"/>
        <v>0</v>
      </c>
      <c r="D72">
        <v>7141</v>
      </c>
      <c r="E72" s="16" t="s">
        <v>712</v>
      </c>
      <c r="F72" t="s">
        <v>619</v>
      </c>
      <c r="G72">
        <f t="shared" si="9"/>
        <v>7140</v>
      </c>
      <c r="I72">
        <f t="shared" si="10"/>
        <v>7140</v>
      </c>
      <c r="K72" t="s">
        <v>992</v>
      </c>
      <c r="L72">
        <v>70</v>
      </c>
      <c r="M72" t="s">
        <v>380</v>
      </c>
      <c r="N72" t="s">
        <v>381</v>
      </c>
      <c r="O72">
        <v>1E-3</v>
      </c>
      <c r="P72">
        <v>0</v>
      </c>
      <c r="Q72" t="s">
        <v>992</v>
      </c>
      <c r="R72">
        <v>7140</v>
      </c>
      <c r="S72">
        <v>3</v>
      </c>
      <c r="T72" t="s">
        <v>421</v>
      </c>
      <c r="U72">
        <f t="shared" si="11"/>
        <v>7140</v>
      </c>
      <c r="W72" t="s">
        <v>992</v>
      </c>
      <c r="X72">
        <v>70</v>
      </c>
      <c r="Y72" t="s">
        <v>380</v>
      </c>
      <c r="Z72" t="s">
        <v>381</v>
      </c>
      <c r="AA72">
        <v>1E-3</v>
      </c>
      <c r="AB72">
        <v>0</v>
      </c>
      <c r="AC72" t="s">
        <v>992</v>
      </c>
      <c r="AD72">
        <v>7140</v>
      </c>
      <c r="AE72">
        <v>3</v>
      </c>
      <c r="AF72" t="s">
        <v>421</v>
      </c>
    </row>
    <row r="73" spans="1:32" hidden="1" x14ac:dyDescent="0.3">
      <c r="A73" s="1">
        <f t="shared" si="6"/>
        <v>0</v>
      </c>
      <c r="B73">
        <f t="shared" si="7"/>
        <v>0</v>
      </c>
      <c r="C73">
        <f t="shared" si="8"/>
        <v>0</v>
      </c>
      <c r="D73">
        <v>7143</v>
      </c>
      <c r="E73" s="16" t="s">
        <v>713</v>
      </c>
      <c r="F73" t="s">
        <v>620</v>
      </c>
      <c r="G73">
        <f t="shared" si="9"/>
        <v>7142</v>
      </c>
      <c r="I73">
        <f t="shared" si="10"/>
        <v>7142</v>
      </c>
      <c r="K73" t="s">
        <v>993</v>
      </c>
      <c r="L73">
        <v>71</v>
      </c>
      <c r="M73" t="s">
        <v>380</v>
      </c>
      <c r="N73" t="s">
        <v>381</v>
      </c>
      <c r="O73">
        <v>1E-3</v>
      </c>
      <c r="P73">
        <v>0</v>
      </c>
      <c r="Q73" t="s">
        <v>993</v>
      </c>
      <c r="R73">
        <v>7142</v>
      </c>
      <c r="S73">
        <v>3</v>
      </c>
      <c r="T73" t="s">
        <v>421</v>
      </c>
      <c r="U73">
        <f t="shared" si="11"/>
        <v>7142</v>
      </c>
      <c r="W73" t="s">
        <v>993</v>
      </c>
      <c r="X73">
        <v>71</v>
      </c>
      <c r="Y73" t="s">
        <v>380</v>
      </c>
      <c r="Z73" t="s">
        <v>381</v>
      </c>
      <c r="AA73">
        <v>1E-3</v>
      </c>
      <c r="AB73">
        <v>0</v>
      </c>
      <c r="AC73" t="s">
        <v>993</v>
      </c>
      <c r="AD73">
        <v>7142</v>
      </c>
      <c r="AE73">
        <v>3</v>
      </c>
      <c r="AF73" t="s">
        <v>421</v>
      </c>
    </row>
    <row r="74" spans="1:32" hidden="1" x14ac:dyDescent="0.3">
      <c r="A74" s="1">
        <f t="shared" si="6"/>
        <v>0</v>
      </c>
      <c r="B74">
        <f t="shared" si="7"/>
        <v>0</v>
      </c>
      <c r="C74">
        <f t="shared" si="8"/>
        <v>0</v>
      </c>
      <c r="D74">
        <v>7145</v>
      </c>
      <c r="E74" s="16" t="s">
        <v>714</v>
      </c>
      <c r="F74" t="s">
        <v>621</v>
      </c>
      <c r="G74">
        <f t="shared" si="9"/>
        <v>7144</v>
      </c>
      <c r="I74">
        <f t="shared" si="10"/>
        <v>7144</v>
      </c>
      <c r="K74" t="s">
        <v>994</v>
      </c>
      <c r="L74">
        <v>72</v>
      </c>
      <c r="M74" t="s">
        <v>380</v>
      </c>
      <c r="N74" t="s">
        <v>381</v>
      </c>
      <c r="O74">
        <v>1E-3</v>
      </c>
      <c r="P74">
        <v>0</v>
      </c>
      <c r="Q74" t="s">
        <v>994</v>
      </c>
      <c r="R74">
        <v>7144</v>
      </c>
      <c r="S74">
        <v>3</v>
      </c>
      <c r="T74" t="s">
        <v>421</v>
      </c>
      <c r="U74">
        <f t="shared" si="11"/>
        <v>7144</v>
      </c>
      <c r="W74" t="s">
        <v>994</v>
      </c>
      <c r="X74">
        <v>72</v>
      </c>
      <c r="Y74" t="s">
        <v>380</v>
      </c>
      <c r="Z74" t="s">
        <v>381</v>
      </c>
      <c r="AA74">
        <v>1E-3</v>
      </c>
      <c r="AB74">
        <v>0</v>
      </c>
      <c r="AC74" t="s">
        <v>994</v>
      </c>
      <c r="AD74">
        <v>7144</v>
      </c>
      <c r="AE74">
        <v>3</v>
      </c>
      <c r="AF74" t="s">
        <v>421</v>
      </c>
    </row>
    <row r="75" spans="1:32" hidden="1" x14ac:dyDescent="0.3">
      <c r="A75" s="1">
        <f t="shared" si="6"/>
        <v>0</v>
      </c>
      <c r="B75">
        <f t="shared" si="7"/>
        <v>0</v>
      </c>
      <c r="C75">
        <f t="shared" si="8"/>
        <v>0</v>
      </c>
      <c r="D75">
        <v>7147</v>
      </c>
      <c r="E75" s="16" t="s">
        <v>715</v>
      </c>
      <c r="F75" t="s">
        <v>622</v>
      </c>
      <c r="G75">
        <f t="shared" si="9"/>
        <v>7146</v>
      </c>
      <c r="I75">
        <f t="shared" si="10"/>
        <v>7146</v>
      </c>
      <c r="K75" t="s">
        <v>995</v>
      </c>
      <c r="L75">
        <v>73</v>
      </c>
      <c r="M75" t="s">
        <v>380</v>
      </c>
      <c r="N75" t="s">
        <v>381</v>
      </c>
      <c r="O75">
        <v>1E-3</v>
      </c>
      <c r="P75">
        <v>0</v>
      </c>
      <c r="Q75" t="s">
        <v>995</v>
      </c>
      <c r="R75">
        <v>7146</v>
      </c>
      <c r="S75">
        <v>3</v>
      </c>
      <c r="T75" t="s">
        <v>421</v>
      </c>
      <c r="U75">
        <f t="shared" si="11"/>
        <v>7146</v>
      </c>
      <c r="W75" t="s">
        <v>995</v>
      </c>
      <c r="X75">
        <v>73</v>
      </c>
      <c r="Y75" t="s">
        <v>380</v>
      </c>
      <c r="Z75" t="s">
        <v>381</v>
      </c>
      <c r="AA75">
        <v>1E-3</v>
      </c>
      <c r="AB75">
        <v>0</v>
      </c>
      <c r="AC75" t="s">
        <v>995</v>
      </c>
      <c r="AD75">
        <v>7146</v>
      </c>
      <c r="AE75">
        <v>3</v>
      </c>
      <c r="AF75" t="s">
        <v>421</v>
      </c>
    </row>
    <row r="76" spans="1:32" hidden="1" x14ac:dyDescent="0.3">
      <c r="A76" s="1">
        <f t="shared" si="6"/>
        <v>0</v>
      </c>
      <c r="B76">
        <f t="shared" si="7"/>
        <v>0</v>
      </c>
      <c r="C76">
        <f t="shared" si="8"/>
        <v>0</v>
      </c>
      <c r="D76">
        <v>7149</v>
      </c>
      <c r="E76" s="16" t="s">
        <v>716</v>
      </c>
      <c r="F76" t="s">
        <v>623</v>
      </c>
      <c r="G76">
        <f t="shared" si="9"/>
        <v>7148</v>
      </c>
      <c r="I76">
        <f t="shared" si="10"/>
        <v>7148</v>
      </c>
      <c r="K76" t="s">
        <v>996</v>
      </c>
      <c r="L76">
        <v>74</v>
      </c>
      <c r="M76" t="s">
        <v>380</v>
      </c>
      <c r="N76" t="s">
        <v>381</v>
      </c>
      <c r="O76">
        <v>1E-3</v>
      </c>
      <c r="P76">
        <v>0</v>
      </c>
      <c r="Q76" t="s">
        <v>996</v>
      </c>
      <c r="R76">
        <v>7148</v>
      </c>
      <c r="S76">
        <v>3</v>
      </c>
      <c r="T76" t="s">
        <v>421</v>
      </c>
      <c r="U76">
        <f t="shared" si="11"/>
        <v>7148</v>
      </c>
      <c r="W76" t="s">
        <v>996</v>
      </c>
      <c r="X76">
        <v>74</v>
      </c>
      <c r="Y76" t="s">
        <v>380</v>
      </c>
      <c r="Z76" t="s">
        <v>381</v>
      </c>
      <c r="AA76">
        <v>1E-3</v>
      </c>
      <c r="AB76">
        <v>0</v>
      </c>
      <c r="AC76" t="s">
        <v>996</v>
      </c>
      <c r="AD76">
        <v>7148</v>
      </c>
      <c r="AE76">
        <v>3</v>
      </c>
      <c r="AF76" t="s">
        <v>421</v>
      </c>
    </row>
    <row r="77" spans="1:32" hidden="1" x14ac:dyDescent="0.3">
      <c r="A77" s="1">
        <f t="shared" si="6"/>
        <v>0</v>
      </c>
      <c r="B77">
        <f t="shared" si="7"/>
        <v>0</v>
      </c>
      <c r="C77">
        <f t="shared" si="8"/>
        <v>0</v>
      </c>
      <c r="D77">
        <v>7151</v>
      </c>
      <c r="E77" s="16" t="s">
        <v>717</v>
      </c>
      <c r="F77" t="s">
        <v>624</v>
      </c>
      <c r="G77">
        <f t="shared" si="9"/>
        <v>7150</v>
      </c>
      <c r="I77">
        <f t="shared" si="10"/>
        <v>7150</v>
      </c>
      <c r="K77" t="s">
        <v>997</v>
      </c>
      <c r="L77">
        <v>75</v>
      </c>
      <c r="M77" t="s">
        <v>380</v>
      </c>
      <c r="N77" t="s">
        <v>381</v>
      </c>
      <c r="O77">
        <v>1E-3</v>
      </c>
      <c r="P77">
        <v>0</v>
      </c>
      <c r="Q77" t="s">
        <v>997</v>
      </c>
      <c r="R77">
        <v>7150</v>
      </c>
      <c r="S77">
        <v>3</v>
      </c>
      <c r="T77" t="s">
        <v>421</v>
      </c>
      <c r="U77">
        <f t="shared" si="11"/>
        <v>7150</v>
      </c>
      <c r="W77" t="s">
        <v>997</v>
      </c>
      <c r="X77">
        <v>75</v>
      </c>
      <c r="Y77" t="s">
        <v>380</v>
      </c>
      <c r="Z77" t="s">
        <v>381</v>
      </c>
      <c r="AA77">
        <v>1E-3</v>
      </c>
      <c r="AB77">
        <v>0</v>
      </c>
      <c r="AC77" t="s">
        <v>997</v>
      </c>
      <c r="AD77">
        <v>7150</v>
      </c>
      <c r="AE77">
        <v>3</v>
      </c>
      <c r="AF77" t="s">
        <v>421</v>
      </c>
    </row>
    <row r="78" spans="1:32" hidden="1" x14ac:dyDescent="0.3">
      <c r="A78" s="1">
        <f t="shared" si="6"/>
        <v>0</v>
      </c>
      <c r="B78">
        <f t="shared" si="7"/>
        <v>0</v>
      </c>
      <c r="C78">
        <f t="shared" si="8"/>
        <v>0</v>
      </c>
      <c r="D78">
        <v>7153</v>
      </c>
      <c r="E78" s="16" t="s">
        <v>718</v>
      </c>
      <c r="F78" t="s">
        <v>625</v>
      </c>
      <c r="G78">
        <f t="shared" si="9"/>
        <v>7152</v>
      </c>
      <c r="I78">
        <f t="shared" si="10"/>
        <v>7152</v>
      </c>
      <c r="K78" t="s">
        <v>998</v>
      </c>
      <c r="L78">
        <v>76</v>
      </c>
      <c r="M78" t="s">
        <v>380</v>
      </c>
      <c r="N78" t="s">
        <v>381</v>
      </c>
      <c r="O78">
        <v>1E-3</v>
      </c>
      <c r="P78">
        <v>0</v>
      </c>
      <c r="Q78" t="s">
        <v>998</v>
      </c>
      <c r="R78">
        <v>7152</v>
      </c>
      <c r="S78">
        <v>3</v>
      </c>
      <c r="T78" t="s">
        <v>421</v>
      </c>
      <c r="U78">
        <f t="shared" si="11"/>
        <v>7152</v>
      </c>
      <c r="W78" t="s">
        <v>998</v>
      </c>
      <c r="X78">
        <v>76</v>
      </c>
      <c r="Y78" t="s">
        <v>380</v>
      </c>
      <c r="Z78" t="s">
        <v>381</v>
      </c>
      <c r="AA78">
        <v>1E-3</v>
      </c>
      <c r="AB78">
        <v>0</v>
      </c>
      <c r="AC78" t="s">
        <v>998</v>
      </c>
      <c r="AD78">
        <v>7152</v>
      </c>
      <c r="AE78">
        <v>3</v>
      </c>
      <c r="AF78" t="s">
        <v>421</v>
      </c>
    </row>
    <row r="79" spans="1:32" hidden="1" x14ac:dyDescent="0.3">
      <c r="A79" s="1">
        <f t="shared" si="6"/>
        <v>0</v>
      </c>
      <c r="B79">
        <f t="shared" si="7"/>
        <v>0</v>
      </c>
      <c r="C79">
        <f t="shared" si="8"/>
        <v>0</v>
      </c>
      <c r="D79">
        <v>7155</v>
      </c>
      <c r="E79" s="16" t="s">
        <v>719</v>
      </c>
      <c r="F79" t="s">
        <v>626</v>
      </c>
      <c r="G79">
        <f t="shared" si="9"/>
        <v>7154</v>
      </c>
      <c r="I79">
        <f t="shared" si="10"/>
        <v>7154</v>
      </c>
      <c r="K79" t="s">
        <v>999</v>
      </c>
      <c r="L79">
        <v>77</v>
      </c>
      <c r="M79" t="s">
        <v>380</v>
      </c>
      <c r="N79" t="s">
        <v>381</v>
      </c>
      <c r="O79">
        <v>1E-3</v>
      </c>
      <c r="P79">
        <v>0</v>
      </c>
      <c r="Q79" t="s">
        <v>999</v>
      </c>
      <c r="R79">
        <v>7154</v>
      </c>
      <c r="S79">
        <v>3</v>
      </c>
      <c r="T79" t="s">
        <v>421</v>
      </c>
      <c r="U79">
        <f t="shared" si="11"/>
        <v>7154</v>
      </c>
      <c r="W79" t="s">
        <v>999</v>
      </c>
      <c r="X79">
        <v>77</v>
      </c>
      <c r="Y79" t="s">
        <v>380</v>
      </c>
      <c r="Z79" t="s">
        <v>381</v>
      </c>
      <c r="AA79">
        <v>1E-3</v>
      </c>
      <c r="AB79">
        <v>0</v>
      </c>
      <c r="AC79" t="s">
        <v>999</v>
      </c>
      <c r="AD79">
        <v>7154</v>
      </c>
      <c r="AE79">
        <v>3</v>
      </c>
      <c r="AF79" t="s">
        <v>421</v>
      </c>
    </row>
    <row r="80" spans="1:32" hidden="1" x14ac:dyDescent="0.3">
      <c r="A80" s="1">
        <f t="shared" si="6"/>
        <v>0</v>
      </c>
      <c r="B80">
        <f t="shared" si="7"/>
        <v>0</v>
      </c>
      <c r="C80">
        <f t="shared" si="8"/>
        <v>0</v>
      </c>
      <c r="D80">
        <v>7157</v>
      </c>
      <c r="E80" s="16" t="s">
        <v>720</v>
      </c>
      <c r="F80" t="s">
        <v>627</v>
      </c>
      <c r="G80">
        <f t="shared" si="9"/>
        <v>7156</v>
      </c>
      <c r="I80">
        <f t="shared" si="10"/>
        <v>7156</v>
      </c>
      <c r="K80" t="s">
        <v>1000</v>
      </c>
      <c r="L80">
        <v>78</v>
      </c>
      <c r="M80" t="s">
        <v>380</v>
      </c>
      <c r="N80" t="s">
        <v>381</v>
      </c>
      <c r="O80">
        <v>1E-3</v>
      </c>
      <c r="P80">
        <v>0</v>
      </c>
      <c r="Q80" t="s">
        <v>1000</v>
      </c>
      <c r="R80">
        <v>7156</v>
      </c>
      <c r="S80">
        <v>3</v>
      </c>
      <c r="T80" t="s">
        <v>421</v>
      </c>
      <c r="U80">
        <f t="shared" si="11"/>
        <v>7156</v>
      </c>
      <c r="W80" t="s">
        <v>1000</v>
      </c>
      <c r="X80">
        <v>78</v>
      </c>
      <c r="Y80" t="s">
        <v>380</v>
      </c>
      <c r="Z80" t="s">
        <v>381</v>
      </c>
      <c r="AA80">
        <v>1E-3</v>
      </c>
      <c r="AB80">
        <v>0</v>
      </c>
      <c r="AC80" t="s">
        <v>1000</v>
      </c>
      <c r="AD80">
        <v>7156</v>
      </c>
      <c r="AE80">
        <v>3</v>
      </c>
      <c r="AF80" t="s">
        <v>421</v>
      </c>
    </row>
    <row r="81" spans="1:32" hidden="1" x14ac:dyDescent="0.3">
      <c r="A81" s="1">
        <f t="shared" si="6"/>
        <v>0</v>
      </c>
      <c r="B81">
        <f t="shared" si="7"/>
        <v>0</v>
      </c>
      <c r="C81">
        <f t="shared" si="8"/>
        <v>0</v>
      </c>
      <c r="D81">
        <v>7159</v>
      </c>
      <c r="E81" s="16" t="s">
        <v>721</v>
      </c>
      <c r="F81" t="s">
        <v>628</v>
      </c>
      <c r="G81">
        <f t="shared" si="9"/>
        <v>7158</v>
      </c>
      <c r="I81">
        <f t="shared" si="10"/>
        <v>7158</v>
      </c>
      <c r="K81" t="s">
        <v>1001</v>
      </c>
      <c r="L81">
        <v>79</v>
      </c>
      <c r="M81" t="s">
        <v>380</v>
      </c>
      <c r="N81" t="s">
        <v>381</v>
      </c>
      <c r="O81">
        <v>1E-3</v>
      </c>
      <c r="P81">
        <v>0</v>
      </c>
      <c r="Q81" t="s">
        <v>1001</v>
      </c>
      <c r="R81">
        <v>7158</v>
      </c>
      <c r="S81">
        <v>3</v>
      </c>
      <c r="T81" t="s">
        <v>421</v>
      </c>
      <c r="U81">
        <f t="shared" si="11"/>
        <v>7158</v>
      </c>
      <c r="W81" t="s">
        <v>1001</v>
      </c>
      <c r="X81">
        <v>79</v>
      </c>
      <c r="Y81" t="s">
        <v>380</v>
      </c>
      <c r="Z81" t="s">
        <v>381</v>
      </c>
      <c r="AA81">
        <v>1E-3</v>
      </c>
      <c r="AB81">
        <v>0</v>
      </c>
      <c r="AC81" t="s">
        <v>1001</v>
      </c>
      <c r="AD81">
        <v>7158</v>
      </c>
      <c r="AE81">
        <v>3</v>
      </c>
      <c r="AF81" t="s">
        <v>421</v>
      </c>
    </row>
    <row r="82" spans="1:32" hidden="1" x14ac:dyDescent="0.3">
      <c r="A82" s="1">
        <f t="shared" si="6"/>
        <v>0</v>
      </c>
      <c r="B82">
        <f t="shared" si="7"/>
        <v>0</v>
      </c>
      <c r="C82">
        <f t="shared" si="8"/>
        <v>0</v>
      </c>
      <c r="D82">
        <v>7161</v>
      </c>
      <c r="E82" s="16" t="s">
        <v>722</v>
      </c>
      <c r="F82" t="s">
        <v>629</v>
      </c>
      <c r="G82">
        <f t="shared" si="9"/>
        <v>7160</v>
      </c>
      <c r="I82">
        <f t="shared" si="10"/>
        <v>7160</v>
      </c>
      <c r="K82" t="s">
        <v>1002</v>
      </c>
      <c r="L82">
        <v>80</v>
      </c>
      <c r="M82" t="s">
        <v>380</v>
      </c>
      <c r="N82" t="s">
        <v>381</v>
      </c>
      <c r="O82">
        <v>1E-3</v>
      </c>
      <c r="P82">
        <v>0</v>
      </c>
      <c r="Q82" t="s">
        <v>1002</v>
      </c>
      <c r="R82">
        <v>7160</v>
      </c>
      <c r="S82">
        <v>3</v>
      </c>
      <c r="T82" t="s">
        <v>421</v>
      </c>
      <c r="U82">
        <f t="shared" si="11"/>
        <v>7160</v>
      </c>
      <c r="W82" t="s">
        <v>1002</v>
      </c>
      <c r="X82">
        <v>80</v>
      </c>
      <c r="Y82" t="s">
        <v>380</v>
      </c>
      <c r="Z82" t="s">
        <v>381</v>
      </c>
      <c r="AA82">
        <v>1E-3</v>
      </c>
      <c r="AB82">
        <v>0</v>
      </c>
      <c r="AC82" t="s">
        <v>1002</v>
      </c>
      <c r="AD82">
        <v>7160</v>
      </c>
      <c r="AE82">
        <v>3</v>
      </c>
      <c r="AF82" t="s">
        <v>421</v>
      </c>
    </row>
    <row r="83" spans="1:32" hidden="1" x14ac:dyDescent="0.3">
      <c r="A83" s="1">
        <f t="shared" si="6"/>
        <v>0</v>
      </c>
      <c r="B83">
        <f t="shared" si="7"/>
        <v>0</v>
      </c>
      <c r="C83">
        <f t="shared" si="8"/>
        <v>0</v>
      </c>
      <c r="D83">
        <v>7163</v>
      </c>
      <c r="E83" s="16" t="s">
        <v>723</v>
      </c>
      <c r="F83" t="s">
        <v>630</v>
      </c>
      <c r="G83">
        <f t="shared" si="9"/>
        <v>7162</v>
      </c>
      <c r="I83">
        <f t="shared" si="10"/>
        <v>7162</v>
      </c>
      <c r="K83" t="s">
        <v>1003</v>
      </c>
      <c r="L83">
        <v>81</v>
      </c>
      <c r="M83" t="s">
        <v>380</v>
      </c>
      <c r="N83" t="s">
        <v>381</v>
      </c>
      <c r="O83">
        <v>1E-3</v>
      </c>
      <c r="P83">
        <v>0</v>
      </c>
      <c r="Q83" t="s">
        <v>1003</v>
      </c>
      <c r="R83">
        <v>7162</v>
      </c>
      <c r="S83">
        <v>3</v>
      </c>
      <c r="T83" t="s">
        <v>421</v>
      </c>
      <c r="U83">
        <f t="shared" si="11"/>
        <v>7162</v>
      </c>
      <c r="W83" t="s">
        <v>1003</v>
      </c>
      <c r="X83">
        <v>81</v>
      </c>
      <c r="Y83" t="s">
        <v>380</v>
      </c>
      <c r="Z83" t="s">
        <v>381</v>
      </c>
      <c r="AA83">
        <v>1E-3</v>
      </c>
      <c r="AB83">
        <v>0</v>
      </c>
      <c r="AC83" t="s">
        <v>1003</v>
      </c>
      <c r="AD83">
        <v>7162</v>
      </c>
      <c r="AE83">
        <v>3</v>
      </c>
      <c r="AF83" t="s">
        <v>421</v>
      </c>
    </row>
    <row r="84" spans="1:32" hidden="1" x14ac:dyDescent="0.3">
      <c r="A84" s="1">
        <f t="shared" si="6"/>
        <v>0</v>
      </c>
      <c r="B84">
        <f t="shared" si="7"/>
        <v>0</v>
      </c>
      <c r="C84">
        <f t="shared" si="8"/>
        <v>0</v>
      </c>
      <c r="D84">
        <v>7165</v>
      </c>
      <c r="E84" s="16" t="s">
        <v>724</v>
      </c>
      <c r="F84" t="s">
        <v>631</v>
      </c>
      <c r="G84">
        <f t="shared" si="9"/>
        <v>7164</v>
      </c>
      <c r="I84">
        <f t="shared" si="10"/>
        <v>7164</v>
      </c>
      <c r="K84" t="s">
        <v>1004</v>
      </c>
      <c r="L84">
        <v>82</v>
      </c>
      <c r="M84" t="s">
        <v>380</v>
      </c>
      <c r="N84" t="s">
        <v>381</v>
      </c>
      <c r="O84">
        <v>1E-3</v>
      </c>
      <c r="P84">
        <v>0</v>
      </c>
      <c r="Q84" t="s">
        <v>1004</v>
      </c>
      <c r="R84">
        <v>7164</v>
      </c>
      <c r="S84">
        <v>3</v>
      </c>
      <c r="T84" t="s">
        <v>421</v>
      </c>
      <c r="U84">
        <f t="shared" si="11"/>
        <v>7164</v>
      </c>
      <c r="W84" t="s">
        <v>1004</v>
      </c>
      <c r="X84">
        <v>82</v>
      </c>
      <c r="Y84" t="s">
        <v>380</v>
      </c>
      <c r="Z84" t="s">
        <v>381</v>
      </c>
      <c r="AA84">
        <v>1E-3</v>
      </c>
      <c r="AB84">
        <v>0</v>
      </c>
      <c r="AC84" t="s">
        <v>1004</v>
      </c>
      <c r="AD84">
        <v>7164</v>
      </c>
      <c r="AE84">
        <v>3</v>
      </c>
      <c r="AF84" t="s">
        <v>421</v>
      </c>
    </row>
    <row r="85" spans="1:32" hidden="1" x14ac:dyDescent="0.3">
      <c r="A85" s="1">
        <f t="shared" si="6"/>
        <v>0</v>
      </c>
      <c r="B85">
        <f t="shared" si="7"/>
        <v>0</v>
      </c>
      <c r="C85">
        <f t="shared" si="8"/>
        <v>0</v>
      </c>
      <c r="D85">
        <v>7167</v>
      </c>
      <c r="E85" s="16" t="s">
        <v>675</v>
      </c>
      <c r="F85" t="s">
        <v>921</v>
      </c>
      <c r="G85">
        <f t="shared" si="9"/>
        <v>7166</v>
      </c>
      <c r="I85">
        <f t="shared" si="10"/>
        <v>7166</v>
      </c>
      <c r="K85" t="s">
        <v>1005</v>
      </c>
      <c r="L85">
        <v>83</v>
      </c>
      <c r="M85" t="s">
        <v>380</v>
      </c>
      <c r="N85" t="s">
        <v>381</v>
      </c>
      <c r="O85">
        <v>1E-3</v>
      </c>
      <c r="P85">
        <v>0</v>
      </c>
      <c r="Q85" t="s">
        <v>1005</v>
      </c>
      <c r="R85">
        <v>7166</v>
      </c>
      <c r="S85">
        <v>3</v>
      </c>
      <c r="T85" t="s">
        <v>421</v>
      </c>
      <c r="U85">
        <f t="shared" si="11"/>
        <v>7166</v>
      </c>
      <c r="W85" t="s">
        <v>1005</v>
      </c>
      <c r="X85">
        <v>83</v>
      </c>
      <c r="Y85" t="s">
        <v>380</v>
      </c>
      <c r="Z85" t="s">
        <v>381</v>
      </c>
      <c r="AA85">
        <v>1E-3</v>
      </c>
      <c r="AB85">
        <v>0</v>
      </c>
      <c r="AC85" t="s">
        <v>1005</v>
      </c>
      <c r="AD85">
        <v>7166</v>
      </c>
      <c r="AE85">
        <v>3</v>
      </c>
      <c r="AF85" t="s">
        <v>421</v>
      </c>
    </row>
    <row r="86" spans="1:32" hidden="1" x14ac:dyDescent="0.3">
      <c r="A86" s="1">
        <f t="shared" si="6"/>
        <v>0</v>
      </c>
      <c r="B86">
        <f t="shared" si="7"/>
        <v>0</v>
      </c>
      <c r="C86">
        <f t="shared" si="8"/>
        <v>0</v>
      </c>
      <c r="D86">
        <v>7169</v>
      </c>
      <c r="E86" s="16" t="s">
        <v>726</v>
      </c>
      <c r="F86" t="s">
        <v>633</v>
      </c>
      <c r="G86">
        <f t="shared" si="9"/>
        <v>7168</v>
      </c>
      <c r="I86">
        <f t="shared" si="10"/>
        <v>7168</v>
      </c>
      <c r="K86" t="s">
        <v>1006</v>
      </c>
      <c r="L86">
        <v>84</v>
      </c>
      <c r="M86" t="s">
        <v>380</v>
      </c>
      <c r="N86" t="s">
        <v>381</v>
      </c>
      <c r="O86">
        <v>1E-3</v>
      </c>
      <c r="P86">
        <v>0</v>
      </c>
      <c r="Q86" t="s">
        <v>1006</v>
      </c>
      <c r="R86">
        <v>7168</v>
      </c>
      <c r="S86">
        <v>3</v>
      </c>
      <c r="T86" t="s">
        <v>421</v>
      </c>
      <c r="U86">
        <f t="shared" si="11"/>
        <v>7168</v>
      </c>
      <c r="W86" t="s">
        <v>1006</v>
      </c>
      <c r="X86">
        <v>84</v>
      </c>
      <c r="Y86" t="s">
        <v>380</v>
      </c>
      <c r="Z86" t="s">
        <v>381</v>
      </c>
      <c r="AA86">
        <v>1E-3</v>
      </c>
      <c r="AB86">
        <v>0</v>
      </c>
      <c r="AC86" t="s">
        <v>1006</v>
      </c>
      <c r="AD86">
        <v>7168</v>
      </c>
      <c r="AE86">
        <v>3</v>
      </c>
      <c r="AF86" t="s">
        <v>421</v>
      </c>
    </row>
    <row r="87" spans="1:32" hidden="1" x14ac:dyDescent="0.3">
      <c r="A87" s="1">
        <f t="shared" si="6"/>
        <v>0</v>
      </c>
      <c r="B87">
        <f t="shared" si="7"/>
        <v>0</v>
      </c>
      <c r="C87">
        <f t="shared" si="8"/>
        <v>0</v>
      </c>
      <c r="D87">
        <v>7171</v>
      </c>
      <c r="E87" s="16" t="s">
        <v>705</v>
      </c>
      <c r="F87" t="s">
        <v>634</v>
      </c>
      <c r="G87">
        <f t="shared" si="9"/>
        <v>7170</v>
      </c>
      <c r="I87">
        <f t="shared" si="10"/>
        <v>7170</v>
      </c>
      <c r="K87" t="s">
        <v>1007</v>
      </c>
      <c r="L87">
        <v>85</v>
      </c>
      <c r="M87" t="s">
        <v>380</v>
      </c>
      <c r="N87" t="s">
        <v>381</v>
      </c>
      <c r="O87">
        <v>1E-3</v>
      </c>
      <c r="P87">
        <v>0</v>
      </c>
      <c r="Q87" t="s">
        <v>1007</v>
      </c>
      <c r="R87">
        <v>7170</v>
      </c>
      <c r="S87">
        <v>3</v>
      </c>
      <c r="T87" t="s">
        <v>421</v>
      </c>
      <c r="U87">
        <f t="shared" si="11"/>
        <v>7170</v>
      </c>
      <c r="W87" t="s">
        <v>1007</v>
      </c>
      <c r="X87">
        <v>85</v>
      </c>
      <c r="Y87" t="s">
        <v>380</v>
      </c>
      <c r="Z87" t="s">
        <v>381</v>
      </c>
      <c r="AA87">
        <v>1E-3</v>
      </c>
      <c r="AB87">
        <v>0</v>
      </c>
      <c r="AC87" t="s">
        <v>1007</v>
      </c>
      <c r="AD87">
        <v>7170</v>
      </c>
      <c r="AE87">
        <v>3</v>
      </c>
      <c r="AF87" t="s">
        <v>421</v>
      </c>
    </row>
    <row r="88" spans="1:32" hidden="1" x14ac:dyDescent="0.3">
      <c r="A88" s="1" t="e">
        <f t="shared" si="6"/>
        <v>#N/A</v>
      </c>
      <c r="B88" t="e">
        <f t="shared" si="7"/>
        <v>#N/A</v>
      </c>
      <c r="C88" t="e">
        <f t="shared" si="8"/>
        <v>#N/A</v>
      </c>
      <c r="D88">
        <v>7173</v>
      </c>
      <c r="E88" s="16" t="s">
        <v>727</v>
      </c>
      <c r="F88" t="s">
        <v>635</v>
      </c>
      <c r="G88">
        <f t="shared" si="9"/>
        <v>7172</v>
      </c>
      <c r="I88">
        <f t="shared" si="10"/>
        <v>7052</v>
      </c>
      <c r="J88" t="s">
        <v>1018</v>
      </c>
      <c r="K88" s="30" t="s">
        <v>1008</v>
      </c>
      <c r="L88" s="30">
        <v>86</v>
      </c>
      <c r="M88" s="30" t="s">
        <v>380</v>
      </c>
      <c r="N88" s="30" t="s">
        <v>381</v>
      </c>
      <c r="O88" s="30">
        <v>1E-3</v>
      </c>
      <c r="P88" s="30">
        <v>0</v>
      </c>
      <c r="Q88" s="30" t="s">
        <v>1008</v>
      </c>
      <c r="R88" s="30">
        <v>7052</v>
      </c>
      <c r="S88" s="30">
        <v>3</v>
      </c>
      <c r="T88" s="30" t="s">
        <v>421</v>
      </c>
      <c r="U88">
        <f t="shared" si="11"/>
        <v>7052</v>
      </c>
      <c r="V88" t="s">
        <v>1018</v>
      </c>
      <c r="W88" s="30" t="s">
        <v>1008</v>
      </c>
      <c r="X88" s="30">
        <v>86</v>
      </c>
      <c r="Y88" s="30" t="s">
        <v>380</v>
      </c>
      <c r="Z88" s="30" t="s">
        <v>381</v>
      </c>
      <c r="AA88" s="30">
        <v>1E-3</v>
      </c>
      <c r="AB88" s="30">
        <v>0</v>
      </c>
      <c r="AC88" s="30" t="s">
        <v>1008</v>
      </c>
      <c r="AD88" s="30">
        <v>7052</v>
      </c>
      <c r="AE88" s="30">
        <v>3</v>
      </c>
      <c r="AF88" s="30" t="s">
        <v>421</v>
      </c>
    </row>
    <row r="89" spans="1:32" x14ac:dyDescent="0.3">
      <c r="A89" s="1" t="str">
        <f t="shared" si="6"/>
        <v>Used</v>
      </c>
      <c r="B89" t="str">
        <f t="shared" si="7"/>
        <v>Used</v>
      </c>
      <c r="C89" t="str">
        <f t="shared" si="8"/>
        <v>Used</v>
      </c>
      <c r="D89">
        <v>7175</v>
      </c>
      <c r="E89" s="16" t="s">
        <v>728</v>
      </c>
      <c r="F89" t="s">
        <v>636</v>
      </c>
      <c r="G89">
        <f t="shared" si="9"/>
        <v>7174</v>
      </c>
      <c r="I89">
        <f t="shared" si="10"/>
        <v>7054</v>
      </c>
      <c r="J89" t="s">
        <v>1018</v>
      </c>
      <c r="K89" s="30" t="s">
        <v>1009</v>
      </c>
      <c r="L89" s="30">
        <v>87</v>
      </c>
      <c r="M89" s="30" t="s">
        <v>380</v>
      </c>
      <c r="N89" s="30" t="s">
        <v>381</v>
      </c>
      <c r="O89" s="30">
        <v>1E-3</v>
      </c>
      <c r="P89" s="30">
        <v>0</v>
      </c>
      <c r="Q89" s="30" t="s">
        <v>1009</v>
      </c>
      <c r="R89" s="30">
        <v>7054</v>
      </c>
      <c r="S89" s="30">
        <v>3</v>
      </c>
      <c r="T89" s="30" t="s">
        <v>421</v>
      </c>
      <c r="U89">
        <f t="shared" si="11"/>
        <v>7054</v>
      </c>
      <c r="V89" t="s">
        <v>1018</v>
      </c>
      <c r="W89" s="30" t="s">
        <v>1009</v>
      </c>
      <c r="X89" s="30">
        <v>87</v>
      </c>
      <c r="Y89" s="30" t="s">
        <v>380</v>
      </c>
      <c r="Z89" s="30" t="s">
        <v>381</v>
      </c>
      <c r="AA89" s="30">
        <v>1E-3</v>
      </c>
      <c r="AB89" s="30">
        <v>0</v>
      </c>
      <c r="AC89" s="30" t="s">
        <v>1009</v>
      </c>
      <c r="AD89" s="30">
        <v>7054</v>
      </c>
      <c r="AE89" s="30">
        <v>3</v>
      </c>
      <c r="AF89" s="30" t="s">
        <v>421</v>
      </c>
    </row>
    <row r="90" spans="1:32" hidden="1" x14ac:dyDescent="0.3">
      <c r="A90" s="1" t="e">
        <f t="shared" si="6"/>
        <v>#N/A</v>
      </c>
      <c r="B90" t="e">
        <f t="shared" si="7"/>
        <v>#N/A</v>
      </c>
      <c r="C90" t="e">
        <f t="shared" si="8"/>
        <v>#N/A</v>
      </c>
      <c r="D90">
        <v>7177</v>
      </c>
      <c r="E90" s="16" t="s">
        <v>729</v>
      </c>
      <c r="F90" t="s">
        <v>922</v>
      </c>
      <c r="G90">
        <f t="shared" si="9"/>
        <v>7176</v>
      </c>
      <c r="I90">
        <f t="shared" si="10"/>
        <v>7056</v>
      </c>
      <c r="J90" t="s">
        <v>1018</v>
      </c>
      <c r="K90" s="30" t="s">
        <v>1010</v>
      </c>
      <c r="L90" s="30">
        <v>88</v>
      </c>
      <c r="M90" s="30" t="s">
        <v>380</v>
      </c>
      <c r="N90" s="30" t="s">
        <v>381</v>
      </c>
      <c r="O90" s="30">
        <v>1E-3</v>
      </c>
      <c r="P90" s="30">
        <v>0</v>
      </c>
      <c r="Q90" s="30" t="s">
        <v>1010</v>
      </c>
      <c r="R90" s="30">
        <v>7056</v>
      </c>
      <c r="S90" s="30">
        <v>3</v>
      </c>
      <c r="T90" s="30" t="s">
        <v>421</v>
      </c>
      <c r="U90">
        <f t="shared" si="11"/>
        <v>7056</v>
      </c>
      <c r="V90" t="s">
        <v>1018</v>
      </c>
      <c r="W90" s="30" t="s">
        <v>1010</v>
      </c>
      <c r="X90" s="30">
        <v>88</v>
      </c>
      <c r="Y90" s="30" t="s">
        <v>380</v>
      </c>
      <c r="Z90" s="30" t="s">
        <v>381</v>
      </c>
      <c r="AA90" s="30">
        <v>1E-3</v>
      </c>
      <c r="AB90" s="30">
        <v>0</v>
      </c>
      <c r="AC90" s="30" t="s">
        <v>1010</v>
      </c>
      <c r="AD90" s="30">
        <v>7056</v>
      </c>
      <c r="AE90" s="30">
        <v>3</v>
      </c>
      <c r="AF90" s="30" t="s">
        <v>421</v>
      </c>
    </row>
    <row r="91" spans="1:32" x14ac:dyDescent="0.3">
      <c r="A91" s="1" t="str">
        <f t="shared" si="6"/>
        <v>Used</v>
      </c>
      <c r="B91" t="str">
        <f t="shared" si="7"/>
        <v>Used</v>
      </c>
      <c r="C91" t="str">
        <f t="shared" si="8"/>
        <v>Used</v>
      </c>
      <c r="D91">
        <v>7181</v>
      </c>
      <c r="E91" s="16" t="s">
        <v>730</v>
      </c>
      <c r="F91" t="s">
        <v>638</v>
      </c>
      <c r="G91">
        <f t="shared" si="9"/>
        <v>7180</v>
      </c>
      <c r="I91">
        <f t="shared" si="10"/>
        <v>7174</v>
      </c>
      <c r="J91" t="s">
        <v>1018</v>
      </c>
      <c r="K91" s="30" t="s">
        <v>1011</v>
      </c>
      <c r="L91" s="30">
        <v>89</v>
      </c>
      <c r="M91" s="30" t="s">
        <v>380</v>
      </c>
      <c r="N91" s="30" t="s">
        <v>381</v>
      </c>
      <c r="O91" s="30">
        <v>1E-3</v>
      </c>
      <c r="P91" s="30">
        <v>0</v>
      </c>
      <c r="Q91" s="30" t="s">
        <v>1011</v>
      </c>
      <c r="R91" s="30">
        <v>7174</v>
      </c>
      <c r="S91" s="30">
        <v>3</v>
      </c>
      <c r="T91" s="30" t="s">
        <v>421</v>
      </c>
      <c r="U91">
        <f t="shared" si="11"/>
        <v>7174</v>
      </c>
      <c r="V91" t="s">
        <v>1018</v>
      </c>
      <c r="W91" s="30" t="s">
        <v>1011</v>
      </c>
      <c r="X91" s="30">
        <v>89</v>
      </c>
      <c r="Y91" s="30" t="s">
        <v>380</v>
      </c>
      <c r="Z91" s="30" t="s">
        <v>381</v>
      </c>
      <c r="AA91" s="30">
        <v>1E-3</v>
      </c>
      <c r="AB91" s="30">
        <v>0</v>
      </c>
      <c r="AC91" s="30" t="s">
        <v>1011</v>
      </c>
      <c r="AD91" s="30">
        <v>7174</v>
      </c>
      <c r="AE91" s="30">
        <v>3</v>
      </c>
      <c r="AF91" s="30" t="s">
        <v>421</v>
      </c>
    </row>
    <row r="92" spans="1:32" x14ac:dyDescent="0.3">
      <c r="A92" s="1" t="str">
        <f t="shared" si="6"/>
        <v>Used</v>
      </c>
      <c r="B92" t="str">
        <f t="shared" si="7"/>
        <v>Used</v>
      </c>
      <c r="C92" t="str">
        <f t="shared" si="8"/>
        <v>Used</v>
      </c>
      <c r="D92">
        <v>7183</v>
      </c>
      <c r="E92" s="16" t="s">
        <v>639</v>
      </c>
      <c r="F92" t="s">
        <v>640</v>
      </c>
      <c r="G92">
        <f t="shared" si="9"/>
        <v>7182</v>
      </c>
      <c r="I92">
        <f t="shared" si="10"/>
        <v>7180</v>
      </c>
      <c r="J92" t="s">
        <v>1018</v>
      </c>
      <c r="K92" s="30" t="s">
        <v>1012</v>
      </c>
      <c r="L92" s="30">
        <v>90</v>
      </c>
      <c r="M92" s="30" t="s">
        <v>380</v>
      </c>
      <c r="N92" s="30" t="s">
        <v>381</v>
      </c>
      <c r="O92" s="30">
        <v>1E-3</v>
      </c>
      <c r="P92" s="30">
        <v>0</v>
      </c>
      <c r="Q92" s="30" t="s">
        <v>1012</v>
      </c>
      <c r="R92" s="30">
        <v>7180</v>
      </c>
      <c r="S92" s="30">
        <v>3</v>
      </c>
      <c r="T92" s="30" t="s">
        <v>421</v>
      </c>
      <c r="U92">
        <f t="shared" si="11"/>
        <v>7180</v>
      </c>
      <c r="V92" t="s">
        <v>1018</v>
      </c>
      <c r="W92" s="30" t="s">
        <v>1012</v>
      </c>
      <c r="X92" s="30">
        <v>90</v>
      </c>
      <c r="Y92" s="30" t="s">
        <v>380</v>
      </c>
      <c r="Z92" s="30" t="s">
        <v>381</v>
      </c>
      <c r="AA92" s="30">
        <v>1E-3</v>
      </c>
      <c r="AB92" s="30">
        <v>0</v>
      </c>
      <c r="AC92" s="30" t="s">
        <v>1012</v>
      </c>
      <c r="AD92" s="30">
        <v>7180</v>
      </c>
      <c r="AE92" s="30">
        <v>3</v>
      </c>
      <c r="AF92" s="30" t="s">
        <v>421</v>
      </c>
    </row>
    <row r="93" spans="1:32" hidden="1" x14ac:dyDescent="0.3">
      <c r="A93" s="1" t="e">
        <f t="shared" si="6"/>
        <v>#N/A</v>
      </c>
      <c r="B93" t="e">
        <f t="shared" si="7"/>
        <v>#N/A</v>
      </c>
      <c r="C93" t="e">
        <f t="shared" si="8"/>
        <v>#N/A</v>
      </c>
      <c r="D93">
        <v>7185</v>
      </c>
      <c r="E93" s="16" t="s">
        <v>731</v>
      </c>
      <c r="F93" t="s">
        <v>641</v>
      </c>
      <c r="G93">
        <f t="shared" si="9"/>
        <v>7184</v>
      </c>
      <c r="I93">
        <f t="shared" si="10"/>
        <v>7182</v>
      </c>
      <c r="J93" t="s">
        <v>1018</v>
      </c>
      <c r="K93" s="30" t="s">
        <v>1013</v>
      </c>
      <c r="L93" s="30">
        <v>91</v>
      </c>
      <c r="M93" s="30" t="s">
        <v>380</v>
      </c>
      <c r="N93" s="30" t="s">
        <v>381</v>
      </c>
      <c r="O93" s="30">
        <v>1</v>
      </c>
      <c r="P93" s="30">
        <v>0</v>
      </c>
      <c r="Q93" s="30" t="s">
        <v>1013</v>
      </c>
      <c r="R93" s="30">
        <v>7182</v>
      </c>
      <c r="S93" s="30">
        <v>3</v>
      </c>
      <c r="T93" s="30" t="s">
        <v>395</v>
      </c>
      <c r="U93">
        <f t="shared" si="11"/>
        <v>7182</v>
      </c>
      <c r="V93" t="s">
        <v>1018</v>
      </c>
      <c r="W93" s="30" t="s">
        <v>1013</v>
      </c>
      <c r="X93" s="30">
        <v>91</v>
      </c>
      <c r="Y93" s="30" t="s">
        <v>380</v>
      </c>
      <c r="Z93" s="30" t="s">
        <v>381</v>
      </c>
      <c r="AA93" s="30">
        <v>1</v>
      </c>
      <c r="AB93" s="30">
        <v>0</v>
      </c>
      <c r="AC93" s="30" t="s">
        <v>1013</v>
      </c>
      <c r="AD93" s="30">
        <v>7182</v>
      </c>
      <c r="AE93" s="30">
        <v>3</v>
      </c>
      <c r="AF93" s="30" t="s">
        <v>395</v>
      </c>
    </row>
    <row r="94" spans="1:32" hidden="1" x14ac:dyDescent="0.3">
      <c r="A94" s="1" t="e">
        <f t="shared" si="6"/>
        <v>#N/A</v>
      </c>
      <c r="B94" t="e">
        <f t="shared" si="7"/>
        <v>#N/A</v>
      </c>
      <c r="C94" t="e">
        <f t="shared" si="8"/>
        <v>#N/A</v>
      </c>
      <c r="D94">
        <v>7189</v>
      </c>
      <c r="E94" s="16" t="s">
        <v>732</v>
      </c>
      <c r="F94" t="s">
        <v>642</v>
      </c>
      <c r="G94">
        <f t="shared" si="9"/>
        <v>7188</v>
      </c>
    </row>
    <row r="95" spans="1:32" hidden="1" x14ac:dyDescent="0.3">
      <c r="A95" s="1" t="e">
        <f t="shared" si="6"/>
        <v>#N/A</v>
      </c>
      <c r="B95" t="e">
        <f t="shared" si="7"/>
        <v>#N/A</v>
      </c>
      <c r="C95" t="e">
        <f t="shared" si="8"/>
        <v>#N/A</v>
      </c>
      <c r="D95">
        <v>7193</v>
      </c>
      <c r="E95" s="16" t="s">
        <v>733</v>
      </c>
      <c r="F95" t="s">
        <v>643</v>
      </c>
      <c r="G95">
        <f t="shared" si="9"/>
        <v>7192</v>
      </c>
    </row>
    <row r="96" spans="1:32" hidden="1" x14ac:dyDescent="0.3">
      <c r="A96" s="1" t="e">
        <f t="shared" si="6"/>
        <v>#N/A</v>
      </c>
      <c r="B96" t="e">
        <f t="shared" si="7"/>
        <v>#N/A</v>
      </c>
      <c r="C96" t="e">
        <f t="shared" si="8"/>
        <v>#N/A</v>
      </c>
      <c r="D96">
        <v>7197</v>
      </c>
      <c r="E96" s="16" t="s">
        <v>644</v>
      </c>
      <c r="F96" t="s">
        <v>645</v>
      </c>
      <c r="G96">
        <f t="shared" si="9"/>
        <v>7196</v>
      </c>
    </row>
    <row r="97" spans="1:7" hidden="1" x14ac:dyDescent="0.3">
      <c r="A97" s="1" t="e">
        <f t="shared" si="6"/>
        <v>#N/A</v>
      </c>
      <c r="B97" t="e">
        <f t="shared" si="7"/>
        <v>#N/A</v>
      </c>
      <c r="C97" t="e">
        <f t="shared" si="8"/>
        <v>#N/A</v>
      </c>
      <c r="D97">
        <v>7201</v>
      </c>
      <c r="E97" s="16" t="s">
        <v>918</v>
      </c>
      <c r="F97" t="s">
        <v>919</v>
      </c>
      <c r="G97">
        <f t="shared" si="9"/>
        <v>7200</v>
      </c>
    </row>
  </sheetData>
  <autoFilter ref="A1:J97" xr:uid="{73CED366-67E6-402F-A4AA-C9B09B4EC679}">
    <filterColumn colId="2">
      <filters>
        <filter val="Used"/>
      </filters>
    </filterColumn>
    <filterColumn colId="3" showButton="0"/>
    <filterColumn colId="4" showButton="0"/>
    <filterColumn colId="5" showButton="0"/>
  </autoFilter>
  <mergeCells count="3">
    <mergeCell ref="D1:G1"/>
    <mergeCell ref="K1:U1"/>
    <mergeCell ref="W1:A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D366-67E6-402F-A4AA-C9B09B4EC679}">
  <dimension ref="A1:AG97"/>
  <sheetViews>
    <sheetView topLeftCell="A68" workbookViewId="0">
      <selection activeCell="D2" sqref="D2:D97"/>
    </sheetView>
  </sheetViews>
  <sheetFormatPr defaultRowHeight="16.5" x14ac:dyDescent="0.3"/>
  <cols>
    <col min="1" max="3" width="18.125" bestFit="1" customWidth="1"/>
    <col min="4" max="4" width="18.125" customWidth="1"/>
    <col min="5" max="5" width="4.875" bestFit="1" customWidth="1"/>
    <col min="7" max="7" width="15" bestFit="1" customWidth="1"/>
    <col min="8" max="9" width="13.25" customWidth="1"/>
    <col min="10" max="10" width="18.125" bestFit="1" customWidth="1"/>
    <col min="11" max="11" width="18.125" customWidth="1"/>
    <col min="12" max="12" width="18.125" bestFit="1" customWidth="1"/>
    <col min="24" max="24" width="18.125" bestFit="1" customWidth="1"/>
  </cols>
  <sheetData>
    <row r="1" spans="1:33" x14ac:dyDescent="0.3">
      <c r="A1" s="1" t="s">
        <v>33</v>
      </c>
      <c r="B1" s="1" t="s">
        <v>41</v>
      </c>
      <c r="C1" s="1" t="s">
        <v>2</v>
      </c>
      <c r="D1" s="1"/>
      <c r="E1" s="45" t="s">
        <v>1014</v>
      </c>
      <c r="F1" s="45"/>
      <c r="G1" s="45"/>
      <c r="H1" s="45"/>
      <c r="I1" s="1"/>
      <c r="J1" s="1"/>
      <c r="K1" s="1"/>
      <c r="L1" s="45" t="s">
        <v>1015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1"/>
      <c r="X1" s="45" t="s">
        <v>1016</v>
      </c>
      <c r="Y1" s="45"/>
      <c r="Z1" s="45"/>
      <c r="AA1" s="45"/>
      <c r="AB1" s="45"/>
      <c r="AC1" s="45"/>
      <c r="AD1" s="45"/>
      <c r="AE1" s="45"/>
      <c r="AF1" s="45"/>
      <c r="AG1" s="45"/>
    </row>
    <row r="2" spans="1:33" x14ac:dyDescent="0.3">
      <c r="A2" s="1" t="str">
        <f>IF(VLOOKUP($H2,$V$2:$AG$93,2,0)="Used",VLOOKUP($H2,$V$2:$AG$93,3,0))</f>
        <v>Inst_kW</v>
      </c>
      <c r="B2" s="1" t="str">
        <f>IF(VLOOKUP($H2,$V$2:$AG$93,2,0)="Used",VLOOKUP($H2,$V$2:$AG$93,3,0))</f>
        <v>Inst_kW</v>
      </c>
      <c r="C2" s="1" t="str">
        <f>IF(VLOOKUP($H2,$V$2:$AG$93,2,0)="Used",VLOOKUP($H2,$V$2:$AG$93,3,0))</f>
        <v>Inst_kW</v>
      </c>
      <c r="D2" s="1">
        <f>IF(VLOOKUP($H2,$V$2:$AG$93,2,0)="Used",VLOOKUP($H2,$V$2:$AG$93,4,0))</f>
        <v>0</v>
      </c>
      <c r="E2">
        <v>7001</v>
      </c>
      <c r="F2" s="16" t="s">
        <v>646</v>
      </c>
      <c r="G2" t="s">
        <v>552</v>
      </c>
      <c r="H2">
        <f>E2-1</f>
        <v>7000</v>
      </c>
      <c r="J2">
        <f>S2</f>
        <v>7000</v>
      </c>
      <c r="K2" t="s">
        <v>1018</v>
      </c>
      <c r="L2" s="30" t="s">
        <v>923</v>
      </c>
      <c r="M2" s="30">
        <v>0</v>
      </c>
      <c r="N2" s="30" t="s">
        <v>380</v>
      </c>
      <c r="O2" s="30" t="s">
        <v>381</v>
      </c>
      <c r="P2" s="30">
        <v>1E-3</v>
      </c>
      <c r="Q2" s="30">
        <v>0</v>
      </c>
      <c r="R2" s="30" t="s">
        <v>923</v>
      </c>
      <c r="S2" s="30">
        <v>7000</v>
      </c>
      <c r="T2" s="30">
        <v>3</v>
      </c>
      <c r="U2" s="30" t="s">
        <v>421</v>
      </c>
      <c r="V2">
        <f>AE2</f>
        <v>7000</v>
      </c>
      <c r="W2" t="s">
        <v>1018</v>
      </c>
      <c r="X2" s="30" t="s">
        <v>923</v>
      </c>
      <c r="Y2" s="30">
        <v>0</v>
      </c>
      <c r="Z2" s="30" t="s">
        <v>380</v>
      </c>
      <c r="AA2" s="30" t="s">
        <v>381</v>
      </c>
      <c r="AB2" s="30">
        <v>1E-3</v>
      </c>
      <c r="AC2" s="30">
        <v>0</v>
      </c>
      <c r="AD2" s="30" t="s">
        <v>923</v>
      </c>
      <c r="AE2" s="30">
        <v>7000</v>
      </c>
      <c r="AF2" s="30">
        <v>3</v>
      </c>
      <c r="AG2" s="30" t="s">
        <v>421</v>
      </c>
    </row>
    <row r="3" spans="1:33" x14ac:dyDescent="0.3">
      <c r="A3" s="1" t="str">
        <f t="shared" ref="A3:B66" si="0">IF(VLOOKUP($H3,$V$2:$AG$93,2,0)="Used",VLOOKUP($H3,$V$2:$AG$93,3,0))</f>
        <v>Inst_kVAr</v>
      </c>
      <c r="B3" s="1" t="str">
        <f t="shared" si="0"/>
        <v>Inst_kVAr</v>
      </c>
      <c r="C3" s="1" t="str">
        <f t="shared" ref="C3:C66" si="1">IF(VLOOKUP($H3,$V$2:$AG$93,2,0)="Used",VLOOKUP($H3,$V$2:$AG$93,3,0))</f>
        <v>Inst_kVAr</v>
      </c>
      <c r="D3" s="1">
        <f t="shared" ref="D3:D66" si="2">IF(VLOOKUP($H3,$V$2:$AG$93,2,0)="Used",VLOOKUP($H3,$V$2:$AG$93,4,0))</f>
        <v>1</v>
      </c>
      <c r="E3">
        <v>7003</v>
      </c>
      <c r="F3" s="16" t="s">
        <v>647</v>
      </c>
      <c r="G3" t="s">
        <v>553</v>
      </c>
      <c r="H3">
        <f t="shared" ref="H3:H66" si="3">E3-1</f>
        <v>7002</v>
      </c>
      <c r="J3">
        <f t="shared" ref="J3:J66" si="4">S3</f>
        <v>7002</v>
      </c>
      <c r="K3" t="s">
        <v>1018</v>
      </c>
      <c r="L3" s="30" t="s">
        <v>924</v>
      </c>
      <c r="M3" s="30">
        <v>1</v>
      </c>
      <c r="N3" s="30" t="s">
        <v>380</v>
      </c>
      <c r="O3" s="30" t="s">
        <v>381</v>
      </c>
      <c r="P3" s="30">
        <v>1E-3</v>
      </c>
      <c r="Q3" s="30">
        <v>0</v>
      </c>
      <c r="R3" s="30" t="s">
        <v>924</v>
      </c>
      <c r="S3" s="30">
        <v>7002</v>
      </c>
      <c r="T3" s="30">
        <v>3</v>
      </c>
      <c r="U3" s="30" t="s">
        <v>421</v>
      </c>
      <c r="V3">
        <f t="shared" ref="V3:V66" si="5">AE3</f>
        <v>7002</v>
      </c>
      <c r="W3" t="s">
        <v>1018</v>
      </c>
      <c r="X3" s="30" t="s">
        <v>924</v>
      </c>
      <c r="Y3" s="30">
        <v>1</v>
      </c>
      <c r="Z3" s="30" t="s">
        <v>380</v>
      </c>
      <c r="AA3" s="30" t="s">
        <v>381</v>
      </c>
      <c r="AB3" s="30">
        <v>1E-3</v>
      </c>
      <c r="AC3" s="30">
        <v>0</v>
      </c>
      <c r="AD3" s="30" t="s">
        <v>924</v>
      </c>
      <c r="AE3" s="30">
        <v>7002</v>
      </c>
      <c r="AF3" s="30">
        <v>3</v>
      </c>
      <c r="AG3" s="30" t="s">
        <v>421</v>
      </c>
    </row>
    <row r="4" spans="1:33" x14ac:dyDescent="0.3">
      <c r="A4" s="1" t="str">
        <f t="shared" si="0"/>
        <v>Ex_Total_kWh</v>
      </c>
      <c r="B4" s="1" t="str">
        <f t="shared" si="0"/>
        <v>Ex_Total_kWh</v>
      </c>
      <c r="C4" s="1" t="str">
        <f t="shared" si="1"/>
        <v>Ex_Total_kWh</v>
      </c>
      <c r="D4" s="1">
        <f t="shared" si="2"/>
        <v>2</v>
      </c>
      <c r="E4">
        <v>7005</v>
      </c>
      <c r="F4" s="16" t="s">
        <v>648</v>
      </c>
      <c r="G4" t="s">
        <v>554</v>
      </c>
      <c r="H4">
        <f t="shared" si="3"/>
        <v>7004</v>
      </c>
      <c r="J4">
        <f t="shared" si="4"/>
        <v>7004</v>
      </c>
      <c r="K4" t="s">
        <v>1018</v>
      </c>
      <c r="L4" s="30" t="s">
        <v>925</v>
      </c>
      <c r="M4" s="30">
        <v>2</v>
      </c>
      <c r="N4" s="30" t="s">
        <v>380</v>
      </c>
      <c r="O4" s="30" t="s">
        <v>381</v>
      </c>
      <c r="P4" s="30">
        <v>1E-3</v>
      </c>
      <c r="Q4" s="30">
        <v>0</v>
      </c>
      <c r="R4" s="30" t="s">
        <v>925</v>
      </c>
      <c r="S4" s="30">
        <v>7004</v>
      </c>
      <c r="T4" s="30">
        <v>3</v>
      </c>
      <c r="U4" s="30" t="s">
        <v>421</v>
      </c>
      <c r="V4">
        <f t="shared" si="5"/>
        <v>7004</v>
      </c>
      <c r="W4" t="s">
        <v>1018</v>
      </c>
      <c r="X4" s="30" t="s">
        <v>925</v>
      </c>
      <c r="Y4" s="30">
        <v>2</v>
      </c>
      <c r="Z4" s="30" t="s">
        <v>380</v>
      </c>
      <c r="AA4" s="30" t="s">
        <v>381</v>
      </c>
      <c r="AB4" s="30">
        <v>1E-3</v>
      </c>
      <c r="AC4" s="30">
        <v>0</v>
      </c>
      <c r="AD4" s="30" t="s">
        <v>925</v>
      </c>
      <c r="AE4" s="30">
        <v>7004</v>
      </c>
      <c r="AF4" s="30">
        <v>3</v>
      </c>
      <c r="AG4" s="30" t="s">
        <v>421</v>
      </c>
    </row>
    <row r="5" spans="1:33" x14ac:dyDescent="0.3">
      <c r="A5" s="1" t="str">
        <f t="shared" si="0"/>
        <v>Ex_kWh_RateA</v>
      </c>
      <c r="B5" s="1" t="str">
        <f t="shared" si="0"/>
        <v>Ex_kWh_RateA</v>
      </c>
      <c r="C5" s="1" t="str">
        <f t="shared" si="1"/>
        <v>Ex_kWh_RateA</v>
      </c>
      <c r="D5" s="1">
        <f t="shared" si="2"/>
        <v>3</v>
      </c>
      <c r="E5">
        <v>7007</v>
      </c>
      <c r="F5" s="16" t="s">
        <v>649</v>
      </c>
      <c r="G5" t="s">
        <v>555</v>
      </c>
      <c r="H5">
        <f t="shared" si="3"/>
        <v>7006</v>
      </c>
      <c r="J5">
        <f t="shared" si="4"/>
        <v>7006</v>
      </c>
      <c r="K5" t="s">
        <v>1018</v>
      </c>
      <c r="L5" s="30" t="s">
        <v>926</v>
      </c>
      <c r="M5" s="30">
        <v>3</v>
      </c>
      <c r="N5" s="30" t="s">
        <v>380</v>
      </c>
      <c r="O5" s="30" t="s">
        <v>381</v>
      </c>
      <c r="P5" s="30">
        <v>1E-3</v>
      </c>
      <c r="Q5" s="30">
        <v>0</v>
      </c>
      <c r="R5" s="30" t="s">
        <v>926</v>
      </c>
      <c r="S5" s="30">
        <v>7006</v>
      </c>
      <c r="T5" s="30">
        <v>3</v>
      </c>
      <c r="U5" s="30" t="s">
        <v>421</v>
      </c>
      <c r="V5">
        <f t="shared" si="5"/>
        <v>7006</v>
      </c>
      <c r="W5" t="s">
        <v>1018</v>
      </c>
      <c r="X5" s="30" t="s">
        <v>926</v>
      </c>
      <c r="Y5" s="30">
        <v>3</v>
      </c>
      <c r="Z5" s="30" t="s">
        <v>380</v>
      </c>
      <c r="AA5" s="30" t="s">
        <v>381</v>
      </c>
      <c r="AB5" s="30">
        <v>1E-3</v>
      </c>
      <c r="AC5" s="30">
        <v>0</v>
      </c>
      <c r="AD5" s="30" t="s">
        <v>926</v>
      </c>
      <c r="AE5" s="30">
        <v>7006</v>
      </c>
      <c r="AF5" s="30">
        <v>3</v>
      </c>
      <c r="AG5" s="30" t="s">
        <v>421</v>
      </c>
    </row>
    <row r="6" spans="1:33" x14ac:dyDescent="0.3">
      <c r="A6" s="1" t="str">
        <f t="shared" si="0"/>
        <v>Ex_kWh_RateB</v>
      </c>
      <c r="B6" s="1" t="str">
        <f t="shared" si="0"/>
        <v>Ex_kWh_RateB</v>
      </c>
      <c r="C6" s="1" t="str">
        <f t="shared" si="1"/>
        <v>Ex_kWh_RateB</v>
      </c>
      <c r="D6" s="1">
        <f t="shared" si="2"/>
        <v>4</v>
      </c>
      <c r="E6">
        <v>7009</v>
      </c>
      <c r="F6" s="16" t="s">
        <v>650</v>
      </c>
      <c r="G6" t="s">
        <v>556</v>
      </c>
      <c r="H6">
        <f t="shared" si="3"/>
        <v>7008</v>
      </c>
      <c r="J6">
        <f t="shared" si="4"/>
        <v>7008</v>
      </c>
      <c r="K6" t="s">
        <v>1018</v>
      </c>
      <c r="L6" s="30" t="s">
        <v>927</v>
      </c>
      <c r="M6" s="30">
        <v>4</v>
      </c>
      <c r="N6" s="30" t="s">
        <v>380</v>
      </c>
      <c r="O6" s="30" t="s">
        <v>381</v>
      </c>
      <c r="P6" s="30">
        <v>1E-3</v>
      </c>
      <c r="Q6" s="30">
        <v>0</v>
      </c>
      <c r="R6" s="30" t="s">
        <v>927</v>
      </c>
      <c r="S6" s="30">
        <v>7008</v>
      </c>
      <c r="T6" s="30">
        <v>3</v>
      </c>
      <c r="U6" s="30" t="s">
        <v>421</v>
      </c>
      <c r="V6">
        <f t="shared" si="5"/>
        <v>7008</v>
      </c>
      <c r="W6" t="s">
        <v>1018</v>
      </c>
      <c r="X6" s="30" t="s">
        <v>927</v>
      </c>
      <c r="Y6" s="30">
        <v>4</v>
      </c>
      <c r="Z6" s="30" t="s">
        <v>380</v>
      </c>
      <c r="AA6" s="30" t="s">
        <v>381</v>
      </c>
      <c r="AB6" s="30">
        <v>1E-3</v>
      </c>
      <c r="AC6" s="30">
        <v>0</v>
      </c>
      <c r="AD6" s="30" t="s">
        <v>927</v>
      </c>
      <c r="AE6" s="30">
        <v>7008</v>
      </c>
      <c r="AF6" s="30">
        <v>3</v>
      </c>
      <c r="AG6" s="30" t="s">
        <v>421</v>
      </c>
    </row>
    <row r="7" spans="1:33" x14ac:dyDescent="0.3">
      <c r="A7" s="1" t="str">
        <f t="shared" si="0"/>
        <v>Ex_kWh_RateC</v>
      </c>
      <c r="B7" s="1" t="str">
        <f t="shared" si="0"/>
        <v>Ex_kWh_RateC</v>
      </c>
      <c r="C7" s="1" t="str">
        <f t="shared" si="1"/>
        <v>Ex_kWh_RateC</v>
      </c>
      <c r="D7" s="1">
        <f t="shared" si="2"/>
        <v>5</v>
      </c>
      <c r="E7">
        <v>7011</v>
      </c>
      <c r="F7" s="16" t="s">
        <v>651</v>
      </c>
      <c r="G7" t="s">
        <v>557</v>
      </c>
      <c r="H7">
        <f t="shared" si="3"/>
        <v>7010</v>
      </c>
      <c r="J7">
        <f t="shared" si="4"/>
        <v>7010</v>
      </c>
      <c r="K7" t="s">
        <v>1018</v>
      </c>
      <c r="L7" s="30" t="s">
        <v>928</v>
      </c>
      <c r="M7" s="30">
        <v>5</v>
      </c>
      <c r="N7" s="30" t="s">
        <v>380</v>
      </c>
      <c r="O7" s="30" t="s">
        <v>381</v>
      </c>
      <c r="P7" s="30">
        <v>1E-3</v>
      </c>
      <c r="Q7" s="30">
        <v>0</v>
      </c>
      <c r="R7" s="30" t="s">
        <v>928</v>
      </c>
      <c r="S7" s="30">
        <v>7010</v>
      </c>
      <c r="T7" s="30">
        <v>3</v>
      </c>
      <c r="U7" s="30" t="s">
        <v>421</v>
      </c>
      <c r="V7">
        <f t="shared" si="5"/>
        <v>7010</v>
      </c>
      <c r="W7" t="s">
        <v>1018</v>
      </c>
      <c r="X7" s="30" t="s">
        <v>928</v>
      </c>
      <c r="Y7" s="30">
        <v>5</v>
      </c>
      <c r="Z7" s="30" t="s">
        <v>380</v>
      </c>
      <c r="AA7" s="30" t="s">
        <v>381</v>
      </c>
      <c r="AB7" s="30">
        <v>1E-3</v>
      </c>
      <c r="AC7" s="30">
        <v>0</v>
      </c>
      <c r="AD7" s="30" t="s">
        <v>928</v>
      </c>
      <c r="AE7" s="30">
        <v>7010</v>
      </c>
      <c r="AF7" s="30">
        <v>3</v>
      </c>
      <c r="AG7" s="30" t="s">
        <v>421</v>
      </c>
    </row>
    <row r="8" spans="1:33" x14ac:dyDescent="0.3">
      <c r="A8" s="1" t="b">
        <f t="shared" si="0"/>
        <v>0</v>
      </c>
      <c r="B8" s="1" t="b">
        <f t="shared" si="0"/>
        <v>0</v>
      </c>
      <c r="C8" s="1" t="b">
        <f t="shared" si="1"/>
        <v>0</v>
      </c>
      <c r="D8" s="1" t="b">
        <f t="shared" si="2"/>
        <v>0</v>
      </c>
      <c r="E8">
        <v>7013</v>
      </c>
      <c r="F8" s="16" t="s">
        <v>652</v>
      </c>
      <c r="G8" t="s">
        <v>558</v>
      </c>
      <c r="H8">
        <f t="shared" si="3"/>
        <v>7012</v>
      </c>
      <c r="J8">
        <f t="shared" si="4"/>
        <v>7012</v>
      </c>
      <c r="L8" t="s">
        <v>929</v>
      </c>
      <c r="M8">
        <v>6</v>
      </c>
      <c r="N8" t="s">
        <v>380</v>
      </c>
      <c r="O8" t="s">
        <v>381</v>
      </c>
      <c r="P8">
        <v>1E-3</v>
      </c>
      <c r="Q8">
        <v>0</v>
      </c>
      <c r="R8" t="s">
        <v>929</v>
      </c>
      <c r="S8">
        <v>7012</v>
      </c>
      <c r="T8">
        <v>3</v>
      </c>
      <c r="U8" t="s">
        <v>421</v>
      </c>
      <c r="V8">
        <f t="shared" si="5"/>
        <v>7012</v>
      </c>
      <c r="X8" t="s">
        <v>929</v>
      </c>
      <c r="Y8">
        <v>6</v>
      </c>
      <c r="Z8" t="s">
        <v>380</v>
      </c>
      <c r="AA8" t="s">
        <v>381</v>
      </c>
      <c r="AB8">
        <v>1E-3</v>
      </c>
      <c r="AC8">
        <v>0</v>
      </c>
      <c r="AD8" t="s">
        <v>929</v>
      </c>
      <c r="AE8">
        <v>7012</v>
      </c>
      <c r="AF8">
        <v>3</v>
      </c>
      <c r="AG8" t="s">
        <v>421</v>
      </c>
    </row>
    <row r="9" spans="1:33" x14ac:dyDescent="0.3">
      <c r="A9" s="1" t="b">
        <f t="shared" si="0"/>
        <v>0</v>
      </c>
      <c r="B9" s="1" t="b">
        <f t="shared" si="0"/>
        <v>0</v>
      </c>
      <c r="C9" s="1" t="b">
        <f t="shared" si="1"/>
        <v>0</v>
      </c>
      <c r="D9" s="1" t="b">
        <f t="shared" si="2"/>
        <v>0</v>
      </c>
      <c r="E9">
        <v>7015</v>
      </c>
      <c r="F9" s="16" t="s">
        <v>653</v>
      </c>
      <c r="G9" t="s">
        <v>559</v>
      </c>
      <c r="H9">
        <f t="shared" si="3"/>
        <v>7014</v>
      </c>
      <c r="J9">
        <f t="shared" si="4"/>
        <v>7014</v>
      </c>
      <c r="L9" t="s">
        <v>930</v>
      </c>
      <c r="M9">
        <v>7</v>
      </c>
      <c r="N9" t="s">
        <v>380</v>
      </c>
      <c r="O9" t="s">
        <v>381</v>
      </c>
      <c r="P9">
        <v>1E-3</v>
      </c>
      <c r="Q9">
        <v>0</v>
      </c>
      <c r="R9" t="s">
        <v>930</v>
      </c>
      <c r="S9">
        <v>7014</v>
      </c>
      <c r="T9">
        <v>3</v>
      </c>
      <c r="U9" t="s">
        <v>421</v>
      </c>
      <c r="V9">
        <f t="shared" si="5"/>
        <v>7014</v>
      </c>
      <c r="X9" t="s">
        <v>930</v>
      </c>
      <c r="Y9">
        <v>7</v>
      </c>
      <c r="Z9" t="s">
        <v>380</v>
      </c>
      <c r="AA9" t="s">
        <v>381</v>
      </c>
      <c r="AB9">
        <v>1E-3</v>
      </c>
      <c r="AC9">
        <v>0</v>
      </c>
      <c r="AD9" t="s">
        <v>930</v>
      </c>
      <c r="AE9">
        <v>7014</v>
      </c>
      <c r="AF9">
        <v>3</v>
      </c>
      <c r="AG9" t="s">
        <v>421</v>
      </c>
    </row>
    <row r="10" spans="1:33" x14ac:dyDescent="0.3">
      <c r="A10" s="1" t="b">
        <f t="shared" si="0"/>
        <v>0</v>
      </c>
      <c r="B10" s="1" t="b">
        <f t="shared" si="0"/>
        <v>0</v>
      </c>
      <c r="C10" s="1" t="b">
        <f t="shared" si="1"/>
        <v>0</v>
      </c>
      <c r="D10" s="1" t="b">
        <f t="shared" si="2"/>
        <v>0</v>
      </c>
      <c r="E10">
        <v>7017</v>
      </c>
      <c r="F10" s="16" t="s">
        <v>654</v>
      </c>
      <c r="G10" t="s">
        <v>560</v>
      </c>
      <c r="H10">
        <f t="shared" si="3"/>
        <v>7016</v>
      </c>
      <c r="J10">
        <f t="shared" si="4"/>
        <v>7016</v>
      </c>
      <c r="L10" t="s">
        <v>931</v>
      </c>
      <c r="M10">
        <v>8</v>
      </c>
      <c r="N10" t="s">
        <v>380</v>
      </c>
      <c r="O10" t="s">
        <v>381</v>
      </c>
      <c r="P10">
        <v>1E-3</v>
      </c>
      <c r="Q10">
        <v>0</v>
      </c>
      <c r="R10" t="s">
        <v>931</v>
      </c>
      <c r="S10">
        <v>7016</v>
      </c>
      <c r="T10">
        <v>3</v>
      </c>
      <c r="U10" t="s">
        <v>421</v>
      </c>
      <c r="V10">
        <f t="shared" si="5"/>
        <v>7016</v>
      </c>
      <c r="X10" t="s">
        <v>931</v>
      </c>
      <c r="Y10">
        <v>8</v>
      </c>
      <c r="Z10" t="s">
        <v>380</v>
      </c>
      <c r="AA10" t="s">
        <v>381</v>
      </c>
      <c r="AB10">
        <v>1E-3</v>
      </c>
      <c r="AC10">
        <v>0</v>
      </c>
      <c r="AD10" t="s">
        <v>931</v>
      </c>
      <c r="AE10">
        <v>7016</v>
      </c>
      <c r="AF10">
        <v>3</v>
      </c>
      <c r="AG10" t="s">
        <v>421</v>
      </c>
    </row>
    <row r="11" spans="1:33" x14ac:dyDescent="0.3">
      <c r="A11" s="1" t="b">
        <f t="shared" si="0"/>
        <v>0</v>
      </c>
      <c r="B11" s="1" t="b">
        <f t="shared" si="0"/>
        <v>0</v>
      </c>
      <c r="C11" s="1" t="b">
        <f t="shared" si="1"/>
        <v>0</v>
      </c>
      <c r="D11" s="1" t="b">
        <f t="shared" si="2"/>
        <v>0</v>
      </c>
      <c r="E11">
        <v>7019</v>
      </c>
      <c r="F11" s="16" t="s">
        <v>655</v>
      </c>
      <c r="G11" t="s">
        <v>561</v>
      </c>
      <c r="H11">
        <f t="shared" si="3"/>
        <v>7018</v>
      </c>
      <c r="J11">
        <f t="shared" si="4"/>
        <v>7018</v>
      </c>
      <c r="L11" t="s">
        <v>932</v>
      </c>
      <c r="M11">
        <v>9</v>
      </c>
      <c r="N11" t="s">
        <v>380</v>
      </c>
      <c r="O11" t="s">
        <v>381</v>
      </c>
      <c r="P11">
        <v>1E-3</v>
      </c>
      <c r="Q11">
        <v>0</v>
      </c>
      <c r="R11" t="s">
        <v>932</v>
      </c>
      <c r="S11">
        <v>7018</v>
      </c>
      <c r="T11">
        <v>3</v>
      </c>
      <c r="U11" t="s">
        <v>421</v>
      </c>
      <c r="V11">
        <f t="shared" si="5"/>
        <v>7018</v>
      </c>
      <c r="X11" t="s">
        <v>932</v>
      </c>
      <c r="Y11">
        <v>9</v>
      </c>
      <c r="Z11" t="s">
        <v>380</v>
      </c>
      <c r="AA11" t="s">
        <v>381</v>
      </c>
      <c r="AB11">
        <v>1E-3</v>
      </c>
      <c r="AC11">
        <v>0</v>
      </c>
      <c r="AD11" t="s">
        <v>932</v>
      </c>
      <c r="AE11">
        <v>7018</v>
      </c>
      <c r="AF11">
        <v>3</v>
      </c>
      <c r="AG11" t="s">
        <v>421</v>
      </c>
    </row>
    <row r="12" spans="1:33" x14ac:dyDescent="0.3">
      <c r="A12" s="1" t="b">
        <f t="shared" si="0"/>
        <v>0</v>
      </c>
      <c r="B12" s="1" t="b">
        <f t="shared" si="0"/>
        <v>0</v>
      </c>
      <c r="C12" s="1" t="b">
        <f t="shared" si="1"/>
        <v>0</v>
      </c>
      <c r="D12" s="1" t="b">
        <f t="shared" si="2"/>
        <v>0</v>
      </c>
      <c r="E12">
        <v>7021</v>
      </c>
      <c r="F12" s="16" t="s">
        <v>656</v>
      </c>
      <c r="G12" t="s">
        <v>562</v>
      </c>
      <c r="H12">
        <f t="shared" si="3"/>
        <v>7020</v>
      </c>
      <c r="J12">
        <f t="shared" si="4"/>
        <v>7020</v>
      </c>
      <c r="L12" t="s">
        <v>933</v>
      </c>
      <c r="M12">
        <v>10</v>
      </c>
      <c r="N12" t="s">
        <v>380</v>
      </c>
      <c r="O12" t="s">
        <v>381</v>
      </c>
      <c r="P12">
        <v>1E-3</v>
      </c>
      <c r="Q12">
        <v>0</v>
      </c>
      <c r="R12" t="s">
        <v>933</v>
      </c>
      <c r="S12">
        <v>7020</v>
      </c>
      <c r="T12">
        <v>3</v>
      </c>
      <c r="U12" t="s">
        <v>421</v>
      </c>
      <c r="V12">
        <f t="shared" si="5"/>
        <v>7020</v>
      </c>
      <c r="X12" t="s">
        <v>933</v>
      </c>
      <c r="Y12">
        <v>10</v>
      </c>
      <c r="Z12" t="s">
        <v>380</v>
      </c>
      <c r="AA12" t="s">
        <v>381</v>
      </c>
      <c r="AB12">
        <v>1E-3</v>
      </c>
      <c r="AC12">
        <v>0</v>
      </c>
      <c r="AD12" t="s">
        <v>933</v>
      </c>
      <c r="AE12">
        <v>7020</v>
      </c>
      <c r="AF12">
        <v>3</v>
      </c>
      <c r="AG12" t="s">
        <v>421</v>
      </c>
    </row>
    <row r="13" spans="1:33" x14ac:dyDescent="0.3">
      <c r="A13" s="1" t="b">
        <f t="shared" si="0"/>
        <v>0</v>
      </c>
      <c r="B13" s="1" t="b">
        <f t="shared" si="0"/>
        <v>0</v>
      </c>
      <c r="C13" s="1" t="b">
        <f t="shared" si="1"/>
        <v>0</v>
      </c>
      <c r="D13" s="1" t="b">
        <f t="shared" si="2"/>
        <v>0</v>
      </c>
      <c r="E13">
        <v>7023</v>
      </c>
      <c r="F13" s="16" t="s">
        <v>657</v>
      </c>
      <c r="G13" t="s">
        <v>563</v>
      </c>
      <c r="H13">
        <f t="shared" si="3"/>
        <v>7022</v>
      </c>
      <c r="J13">
        <f t="shared" si="4"/>
        <v>7022</v>
      </c>
      <c r="L13" t="s">
        <v>934</v>
      </c>
      <c r="M13">
        <v>11</v>
      </c>
      <c r="N13" t="s">
        <v>380</v>
      </c>
      <c r="O13" t="s">
        <v>381</v>
      </c>
      <c r="P13">
        <v>1E-3</v>
      </c>
      <c r="Q13">
        <v>0</v>
      </c>
      <c r="R13" t="s">
        <v>934</v>
      </c>
      <c r="S13">
        <v>7022</v>
      </c>
      <c r="T13">
        <v>3</v>
      </c>
      <c r="U13" t="s">
        <v>421</v>
      </c>
      <c r="V13">
        <f t="shared" si="5"/>
        <v>7022</v>
      </c>
      <c r="X13" t="s">
        <v>934</v>
      </c>
      <c r="Y13">
        <v>11</v>
      </c>
      <c r="Z13" t="s">
        <v>380</v>
      </c>
      <c r="AA13" t="s">
        <v>381</v>
      </c>
      <c r="AB13">
        <v>1E-3</v>
      </c>
      <c r="AC13">
        <v>0</v>
      </c>
      <c r="AD13" t="s">
        <v>934</v>
      </c>
      <c r="AE13">
        <v>7022</v>
      </c>
      <c r="AF13">
        <v>3</v>
      </c>
      <c r="AG13" t="s">
        <v>421</v>
      </c>
    </row>
    <row r="14" spans="1:33" x14ac:dyDescent="0.3">
      <c r="A14" s="1" t="str">
        <f t="shared" si="0"/>
        <v>Ex_Total_kVArh</v>
      </c>
      <c r="B14" s="1" t="str">
        <f t="shared" si="0"/>
        <v>Ex_Total_kVArh</v>
      </c>
      <c r="C14" s="1" t="str">
        <f t="shared" si="1"/>
        <v>Ex_Total_kVArh</v>
      </c>
      <c r="D14" s="1">
        <f t="shared" si="2"/>
        <v>12</v>
      </c>
      <c r="E14">
        <v>7025</v>
      </c>
      <c r="F14" s="16" t="s">
        <v>658</v>
      </c>
      <c r="G14" t="s">
        <v>564</v>
      </c>
      <c r="H14">
        <f t="shared" si="3"/>
        <v>7024</v>
      </c>
      <c r="J14">
        <f t="shared" si="4"/>
        <v>7024</v>
      </c>
      <c r="K14" t="s">
        <v>1018</v>
      </c>
      <c r="L14" s="30" t="s">
        <v>935</v>
      </c>
      <c r="M14" s="30">
        <v>12</v>
      </c>
      <c r="N14" s="30" t="s">
        <v>380</v>
      </c>
      <c r="O14" s="30" t="s">
        <v>381</v>
      </c>
      <c r="P14" s="30">
        <v>1E-3</v>
      </c>
      <c r="Q14" s="30">
        <v>0</v>
      </c>
      <c r="R14" s="30" t="s">
        <v>935</v>
      </c>
      <c r="S14" s="30">
        <v>7024</v>
      </c>
      <c r="T14" s="30">
        <v>3</v>
      </c>
      <c r="U14" s="30" t="s">
        <v>421</v>
      </c>
      <c r="V14">
        <f t="shared" si="5"/>
        <v>7024</v>
      </c>
      <c r="W14" t="s">
        <v>1018</v>
      </c>
      <c r="X14" s="30" t="s">
        <v>935</v>
      </c>
      <c r="Y14" s="30">
        <v>12</v>
      </c>
      <c r="Z14" s="30" t="s">
        <v>380</v>
      </c>
      <c r="AA14" s="30" t="s">
        <v>381</v>
      </c>
      <c r="AB14" s="30">
        <v>1E-3</v>
      </c>
      <c r="AC14" s="30">
        <v>0</v>
      </c>
      <c r="AD14" s="30" t="s">
        <v>935</v>
      </c>
      <c r="AE14" s="30">
        <v>7024</v>
      </c>
      <c r="AF14" s="30">
        <v>3</v>
      </c>
      <c r="AG14" s="30" t="s">
        <v>421</v>
      </c>
    </row>
    <row r="15" spans="1:33" x14ac:dyDescent="0.3">
      <c r="A15" s="1" t="b">
        <f t="shared" si="0"/>
        <v>0</v>
      </c>
      <c r="B15" s="1" t="b">
        <f t="shared" si="0"/>
        <v>0</v>
      </c>
      <c r="C15" s="1" t="b">
        <f t="shared" si="1"/>
        <v>0</v>
      </c>
      <c r="D15" s="1" t="b">
        <f t="shared" si="2"/>
        <v>0</v>
      </c>
      <c r="E15">
        <v>7027</v>
      </c>
      <c r="F15" s="16" t="s">
        <v>659</v>
      </c>
      <c r="G15" t="s">
        <v>565</v>
      </c>
      <c r="H15">
        <f t="shared" si="3"/>
        <v>7026</v>
      </c>
      <c r="J15">
        <f t="shared" si="4"/>
        <v>7026</v>
      </c>
      <c r="L15" t="s">
        <v>936</v>
      </c>
      <c r="M15">
        <v>13</v>
      </c>
      <c r="N15" t="s">
        <v>380</v>
      </c>
      <c r="O15" t="s">
        <v>381</v>
      </c>
      <c r="P15">
        <v>1E-3</v>
      </c>
      <c r="Q15">
        <v>0</v>
      </c>
      <c r="R15" t="s">
        <v>936</v>
      </c>
      <c r="S15">
        <v>7026</v>
      </c>
      <c r="T15">
        <v>3</v>
      </c>
      <c r="U15" t="s">
        <v>421</v>
      </c>
      <c r="V15">
        <f t="shared" si="5"/>
        <v>7026</v>
      </c>
      <c r="X15" t="s">
        <v>936</v>
      </c>
      <c r="Y15">
        <v>13</v>
      </c>
      <c r="Z15" t="s">
        <v>380</v>
      </c>
      <c r="AA15" t="s">
        <v>381</v>
      </c>
      <c r="AB15">
        <v>1E-3</v>
      </c>
      <c r="AC15">
        <v>0</v>
      </c>
      <c r="AD15" t="s">
        <v>936</v>
      </c>
      <c r="AE15">
        <v>7026</v>
      </c>
      <c r="AF15">
        <v>3</v>
      </c>
      <c r="AG15" t="s">
        <v>421</v>
      </c>
    </row>
    <row r="16" spans="1:33" x14ac:dyDescent="0.3">
      <c r="A16" s="1" t="b">
        <f t="shared" si="0"/>
        <v>0</v>
      </c>
      <c r="B16" s="1" t="b">
        <f t="shared" si="0"/>
        <v>0</v>
      </c>
      <c r="C16" s="1" t="b">
        <f t="shared" si="1"/>
        <v>0</v>
      </c>
      <c r="D16" s="1" t="b">
        <f t="shared" si="2"/>
        <v>0</v>
      </c>
      <c r="E16">
        <v>7029</v>
      </c>
      <c r="F16" s="16" t="s">
        <v>660</v>
      </c>
      <c r="G16" t="s">
        <v>566</v>
      </c>
      <c r="H16">
        <f t="shared" si="3"/>
        <v>7028</v>
      </c>
      <c r="J16">
        <f t="shared" si="4"/>
        <v>7028</v>
      </c>
      <c r="L16" t="s">
        <v>937</v>
      </c>
      <c r="M16">
        <v>14</v>
      </c>
      <c r="N16" t="s">
        <v>380</v>
      </c>
      <c r="O16" t="s">
        <v>381</v>
      </c>
      <c r="P16">
        <v>1E-3</v>
      </c>
      <c r="Q16">
        <v>0</v>
      </c>
      <c r="R16" t="s">
        <v>937</v>
      </c>
      <c r="S16">
        <v>7028</v>
      </c>
      <c r="T16">
        <v>3</v>
      </c>
      <c r="U16" t="s">
        <v>421</v>
      </c>
      <c r="V16">
        <f t="shared" si="5"/>
        <v>7028</v>
      </c>
      <c r="X16" t="s">
        <v>937</v>
      </c>
      <c r="Y16">
        <v>14</v>
      </c>
      <c r="Z16" t="s">
        <v>380</v>
      </c>
      <c r="AA16" t="s">
        <v>381</v>
      </c>
      <c r="AB16">
        <v>1E-3</v>
      </c>
      <c r="AC16">
        <v>0</v>
      </c>
      <c r="AD16" t="s">
        <v>937</v>
      </c>
      <c r="AE16">
        <v>7028</v>
      </c>
      <c r="AF16">
        <v>3</v>
      </c>
      <c r="AG16" t="s">
        <v>421</v>
      </c>
    </row>
    <row r="17" spans="1:33" x14ac:dyDescent="0.3">
      <c r="A17" s="1" t="b">
        <f t="shared" si="0"/>
        <v>0</v>
      </c>
      <c r="B17" s="1" t="b">
        <f t="shared" si="0"/>
        <v>0</v>
      </c>
      <c r="C17" s="1" t="b">
        <f t="shared" si="1"/>
        <v>0</v>
      </c>
      <c r="D17" s="1" t="b">
        <f t="shared" si="2"/>
        <v>0</v>
      </c>
      <c r="E17">
        <v>7031</v>
      </c>
      <c r="F17" s="16" t="s">
        <v>661</v>
      </c>
      <c r="G17" t="s">
        <v>567</v>
      </c>
      <c r="H17">
        <f t="shared" si="3"/>
        <v>7030</v>
      </c>
      <c r="J17">
        <f t="shared" si="4"/>
        <v>7030</v>
      </c>
      <c r="L17" t="s">
        <v>938</v>
      </c>
      <c r="M17">
        <v>15</v>
      </c>
      <c r="N17" t="s">
        <v>380</v>
      </c>
      <c r="O17" t="s">
        <v>381</v>
      </c>
      <c r="P17">
        <v>1E-3</v>
      </c>
      <c r="Q17">
        <v>0</v>
      </c>
      <c r="R17" t="s">
        <v>938</v>
      </c>
      <c r="S17">
        <v>7030</v>
      </c>
      <c r="T17">
        <v>3</v>
      </c>
      <c r="U17" t="s">
        <v>421</v>
      </c>
      <c r="V17">
        <f t="shared" si="5"/>
        <v>7030</v>
      </c>
      <c r="X17" t="s">
        <v>938</v>
      </c>
      <c r="Y17">
        <v>15</v>
      </c>
      <c r="Z17" t="s">
        <v>380</v>
      </c>
      <c r="AA17" t="s">
        <v>381</v>
      </c>
      <c r="AB17">
        <v>1E-3</v>
      </c>
      <c r="AC17">
        <v>0</v>
      </c>
      <c r="AD17" t="s">
        <v>938</v>
      </c>
      <c r="AE17">
        <v>7030</v>
      </c>
      <c r="AF17">
        <v>3</v>
      </c>
      <c r="AG17" t="s">
        <v>421</v>
      </c>
    </row>
    <row r="18" spans="1:33" x14ac:dyDescent="0.3">
      <c r="A18" s="1" t="b">
        <f t="shared" si="0"/>
        <v>0</v>
      </c>
      <c r="B18" s="1" t="b">
        <f t="shared" si="0"/>
        <v>0</v>
      </c>
      <c r="C18" s="1" t="b">
        <f t="shared" si="1"/>
        <v>0</v>
      </c>
      <c r="D18" s="1" t="b">
        <f t="shared" si="2"/>
        <v>0</v>
      </c>
      <c r="E18">
        <v>7033</v>
      </c>
      <c r="F18" s="16" t="s">
        <v>662</v>
      </c>
      <c r="G18" t="s">
        <v>568</v>
      </c>
      <c r="H18">
        <f t="shared" si="3"/>
        <v>7032</v>
      </c>
      <c r="J18">
        <f t="shared" si="4"/>
        <v>7032</v>
      </c>
      <c r="L18" t="s">
        <v>939</v>
      </c>
      <c r="M18">
        <v>16</v>
      </c>
      <c r="N18" t="s">
        <v>380</v>
      </c>
      <c r="O18" t="s">
        <v>381</v>
      </c>
      <c r="P18">
        <v>1E-3</v>
      </c>
      <c r="Q18">
        <v>0</v>
      </c>
      <c r="R18" t="s">
        <v>939</v>
      </c>
      <c r="S18">
        <v>7032</v>
      </c>
      <c r="T18">
        <v>3</v>
      </c>
      <c r="U18" t="s">
        <v>421</v>
      </c>
      <c r="V18">
        <f t="shared" si="5"/>
        <v>7032</v>
      </c>
      <c r="X18" t="s">
        <v>939</v>
      </c>
      <c r="Y18">
        <v>16</v>
      </c>
      <c r="Z18" t="s">
        <v>380</v>
      </c>
      <c r="AA18" t="s">
        <v>381</v>
      </c>
      <c r="AB18">
        <v>1E-3</v>
      </c>
      <c r="AC18">
        <v>0</v>
      </c>
      <c r="AD18" t="s">
        <v>939</v>
      </c>
      <c r="AE18">
        <v>7032</v>
      </c>
      <c r="AF18">
        <v>3</v>
      </c>
      <c r="AG18" t="s">
        <v>421</v>
      </c>
    </row>
    <row r="19" spans="1:33" x14ac:dyDescent="0.3">
      <c r="A19" s="1" t="b">
        <f t="shared" si="0"/>
        <v>0</v>
      </c>
      <c r="B19" s="1" t="b">
        <f t="shared" si="0"/>
        <v>0</v>
      </c>
      <c r="C19" s="1" t="b">
        <f t="shared" si="1"/>
        <v>0</v>
      </c>
      <c r="D19" s="1" t="b">
        <f t="shared" si="2"/>
        <v>0</v>
      </c>
      <c r="E19">
        <v>7035</v>
      </c>
      <c r="F19" s="16" t="s">
        <v>663</v>
      </c>
      <c r="G19" t="s">
        <v>569</v>
      </c>
      <c r="H19">
        <f t="shared" si="3"/>
        <v>7034</v>
      </c>
      <c r="J19">
        <f t="shared" si="4"/>
        <v>7034</v>
      </c>
      <c r="L19" t="s">
        <v>940</v>
      </c>
      <c r="M19">
        <v>17</v>
      </c>
      <c r="N19" t="s">
        <v>380</v>
      </c>
      <c r="O19" t="s">
        <v>381</v>
      </c>
      <c r="P19">
        <v>1E-3</v>
      </c>
      <c r="Q19">
        <v>0</v>
      </c>
      <c r="R19" t="s">
        <v>940</v>
      </c>
      <c r="S19">
        <v>7034</v>
      </c>
      <c r="T19">
        <v>3</v>
      </c>
      <c r="U19" t="s">
        <v>421</v>
      </c>
      <c r="V19">
        <f t="shared" si="5"/>
        <v>7034</v>
      </c>
      <c r="X19" t="s">
        <v>940</v>
      </c>
      <c r="Y19">
        <v>17</v>
      </c>
      <c r="Z19" t="s">
        <v>380</v>
      </c>
      <c r="AA19" t="s">
        <v>381</v>
      </c>
      <c r="AB19">
        <v>1E-3</v>
      </c>
      <c r="AC19">
        <v>0</v>
      </c>
      <c r="AD19" t="s">
        <v>940</v>
      </c>
      <c r="AE19">
        <v>7034</v>
      </c>
      <c r="AF19">
        <v>3</v>
      </c>
      <c r="AG19" t="s">
        <v>421</v>
      </c>
    </row>
    <row r="20" spans="1:33" x14ac:dyDescent="0.3">
      <c r="A20" s="1" t="b">
        <f t="shared" si="0"/>
        <v>0</v>
      </c>
      <c r="B20" s="1" t="b">
        <f t="shared" si="0"/>
        <v>0</v>
      </c>
      <c r="C20" s="1" t="b">
        <f t="shared" si="1"/>
        <v>0</v>
      </c>
      <c r="D20" s="1" t="b">
        <f t="shared" si="2"/>
        <v>0</v>
      </c>
      <c r="E20">
        <v>7037</v>
      </c>
      <c r="F20" s="16" t="s">
        <v>664</v>
      </c>
      <c r="G20" t="s">
        <v>570</v>
      </c>
      <c r="H20">
        <f t="shared" si="3"/>
        <v>7036</v>
      </c>
      <c r="J20">
        <f t="shared" si="4"/>
        <v>7036</v>
      </c>
      <c r="L20" t="s">
        <v>941</v>
      </c>
      <c r="M20">
        <v>18</v>
      </c>
      <c r="N20" t="s">
        <v>380</v>
      </c>
      <c r="O20" t="s">
        <v>381</v>
      </c>
      <c r="P20">
        <v>1E-3</v>
      </c>
      <c r="Q20">
        <v>0</v>
      </c>
      <c r="R20" t="s">
        <v>941</v>
      </c>
      <c r="S20">
        <v>7036</v>
      </c>
      <c r="T20">
        <v>3</v>
      </c>
      <c r="U20" t="s">
        <v>421</v>
      </c>
      <c r="V20">
        <f t="shared" si="5"/>
        <v>7036</v>
      </c>
      <c r="X20" t="s">
        <v>941</v>
      </c>
      <c r="Y20">
        <v>18</v>
      </c>
      <c r="Z20" t="s">
        <v>380</v>
      </c>
      <c r="AA20" t="s">
        <v>381</v>
      </c>
      <c r="AB20">
        <v>1E-3</v>
      </c>
      <c r="AC20">
        <v>0</v>
      </c>
      <c r="AD20" t="s">
        <v>941</v>
      </c>
      <c r="AE20">
        <v>7036</v>
      </c>
      <c r="AF20">
        <v>3</v>
      </c>
      <c r="AG20" t="s">
        <v>421</v>
      </c>
    </row>
    <row r="21" spans="1:33" x14ac:dyDescent="0.3">
      <c r="A21" s="1" t="b">
        <f t="shared" si="0"/>
        <v>0</v>
      </c>
      <c r="B21" s="1" t="b">
        <f t="shared" si="0"/>
        <v>0</v>
      </c>
      <c r="C21" s="1" t="b">
        <f t="shared" si="1"/>
        <v>0</v>
      </c>
      <c r="D21" s="1" t="b">
        <f t="shared" si="2"/>
        <v>0</v>
      </c>
      <c r="E21">
        <v>7039</v>
      </c>
      <c r="F21" s="16" t="s">
        <v>665</v>
      </c>
      <c r="G21" t="s">
        <v>571</v>
      </c>
      <c r="H21">
        <f t="shared" si="3"/>
        <v>7038</v>
      </c>
      <c r="J21">
        <f t="shared" si="4"/>
        <v>7038</v>
      </c>
      <c r="L21" t="s">
        <v>942</v>
      </c>
      <c r="M21">
        <v>19</v>
      </c>
      <c r="N21" t="s">
        <v>380</v>
      </c>
      <c r="O21" t="s">
        <v>381</v>
      </c>
      <c r="P21">
        <v>1E-3</v>
      </c>
      <c r="Q21">
        <v>0</v>
      </c>
      <c r="R21" t="s">
        <v>942</v>
      </c>
      <c r="S21">
        <v>7038</v>
      </c>
      <c r="T21">
        <v>3</v>
      </c>
      <c r="U21" t="s">
        <v>421</v>
      </c>
      <c r="V21">
        <f t="shared" si="5"/>
        <v>7038</v>
      </c>
      <c r="X21" t="s">
        <v>942</v>
      </c>
      <c r="Y21">
        <v>19</v>
      </c>
      <c r="Z21" t="s">
        <v>380</v>
      </c>
      <c r="AA21" t="s">
        <v>381</v>
      </c>
      <c r="AB21">
        <v>1E-3</v>
      </c>
      <c r="AC21">
        <v>0</v>
      </c>
      <c r="AD21" t="s">
        <v>942</v>
      </c>
      <c r="AE21">
        <v>7038</v>
      </c>
      <c r="AF21">
        <v>3</v>
      </c>
      <c r="AG21" t="s">
        <v>421</v>
      </c>
    </row>
    <row r="22" spans="1:33" x14ac:dyDescent="0.3">
      <c r="A22" s="1" t="b">
        <f t="shared" si="0"/>
        <v>0</v>
      </c>
      <c r="B22" s="1" t="b">
        <f t="shared" si="0"/>
        <v>0</v>
      </c>
      <c r="C22" s="1" t="b">
        <f t="shared" si="1"/>
        <v>0</v>
      </c>
      <c r="D22" s="1" t="b">
        <f t="shared" si="2"/>
        <v>0</v>
      </c>
      <c r="E22">
        <v>7041</v>
      </c>
      <c r="F22" s="16" t="s">
        <v>666</v>
      </c>
      <c r="G22" t="s">
        <v>572</v>
      </c>
      <c r="H22">
        <f t="shared" si="3"/>
        <v>7040</v>
      </c>
      <c r="J22">
        <f t="shared" si="4"/>
        <v>7040</v>
      </c>
      <c r="L22" t="s">
        <v>943</v>
      </c>
      <c r="M22">
        <v>20</v>
      </c>
      <c r="N22" t="s">
        <v>380</v>
      </c>
      <c r="O22" t="s">
        <v>381</v>
      </c>
      <c r="P22">
        <v>1E-3</v>
      </c>
      <c r="Q22">
        <v>0</v>
      </c>
      <c r="R22" t="s">
        <v>943</v>
      </c>
      <c r="S22">
        <v>7040</v>
      </c>
      <c r="T22">
        <v>3</v>
      </c>
      <c r="U22" t="s">
        <v>421</v>
      </c>
      <c r="V22">
        <f t="shared" si="5"/>
        <v>7040</v>
      </c>
      <c r="X22" t="s">
        <v>943</v>
      </c>
      <c r="Y22">
        <v>20</v>
      </c>
      <c r="Z22" t="s">
        <v>380</v>
      </c>
      <c r="AA22" t="s">
        <v>381</v>
      </c>
      <c r="AB22">
        <v>1E-3</v>
      </c>
      <c r="AC22">
        <v>0</v>
      </c>
      <c r="AD22" t="s">
        <v>943</v>
      </c>
      <c r="AE22">
        <v>7040</v>
      </c>
      <c r="AF22">
        <v>3</v>
      </c>
      <c r="AG22" t="s">
        <v>421</v>
      </c>
    </row>
    <row r="23" spans="1:33" x14ac:dyDescent="0.3">
      <c r="A23" s="1" t="b">
        <f t="shared" si="0"/>
        <v>0</v>
      </c>
      <c r="B23" s="1" t="b">
        <f t="shared" si="0"/>
        <v>0</v>
      </c>
      <c r="C23" s="1" t="b">
        <f t="shared" si="1"/>
        <v>0</v>
      </c>
      <c r="D23" s="1" t="b">
        <f t="shared" si="2"/>
        <v>0</v>
      </c>
      <c r="E23">
        <v>7043</v>
      </c>
      <c r="F23" s="16" t="s">
        <v>667</v>
      </c>
      <c r="G23" t="s">
        <v>573</v>
      </c>
      <c r="H23">
        <f t="shared" si="3"/>
        <v>7042</v>
      </c>
      <c r="J23">
        <f t="shared" si="4"/>
        <v>7042</v>
      </c>
      <c r="L23" t="s">
        <v>944</v>
      </c>
      <c r="M23">
        <v>21</v>
      </c>
      <c r="N23" t="s">
        <v>380</v>
      </c>
      <c r="O23" t="s">
        <v>381</v>
      </c>
      <c r="P23">
        <v>1E-3</v>
      </c>
      <c r="Q23">
        <v>0</v>
      </c>
      <c r="R23" t="s">
        <v>944</v>
      </c>
      <c r="S23">
        <v>7042</v>
      </c>
      <c r="T23">
        <v>3</v>
      </c>
      <c r="U23" t="s">
        <v>421</v>
      </c>
      <c r="V23">
        <f t="shared" si="5"/>
        <v>7042</v>
      </c>
      <c r="X23" t="s">
        <v>944</v>
      </c>
      <c r="Y23">
        <v>21</v>
      </c>
      <c r="Z23" t="s">
        <v>380</v>
      </c>
      <c r="AA23" t="s">
        <v>381</v>
      </c>
      <c r="AB23">
        <v>1E-3</v>
      </c>
      <c r="AC23">
        <v>0</v>
      </c>
      <c r="AD23" t="s">
        <v>944</v>
      </c>
      <c r="AE23">
        <v>7042</v>
      </c>
      <c r="AF23">
        <v>3</v>
      </c>
      <c r="AG23" t="s">
        <v>421</v>
      </c>
    </row>
    <row r="24" spans="1:33" x14ac:dyDescent="0.3">
      <c r="A24" s="1" t="str">
        <f t="shared" si="0"/>
        <v>Ex_BT_Total_kWh</v>
      </c>
      <c r="B24" s="1" t="str">
        <f t="shared" si="0"/>
        <v>Ex_BT_Total_kWh</v>
      </c>
      <c r="C24" s="1" t="str">
        <f t="shared" si="1"/>
        <v>Ex_BT_Total_kWh</v>
      </c>
      <c r="D24" s="1">
        <f t="shared" si="2"/>
        <v>22</v>
      </c>
      <c r="E24">
        <v>7045</v>
      </c>
      <c r="F24" s="16" t="s">
        <v>668</v>
      </c>
      <c r="G24" t="s">
        <v>574</v>
      </c>
      <c r="H24">
        <f t="shared" si="3"/>
        <v>7044</v>
      </c>
      <c r="J24">
        <f t="shared" si="4"/>
        <v>7044</v>
      </c>
      <c r="K24" t="s">
        <v>1018</v>
      </c>
      <c r="L24" s="30" t="s">
        <v>945</v>
      </c>
      <c r="M24" s="30">
        <v>22</v>
      </c>
      <c r="N24" s="30" t="s">
        <v>380</v>
      </c>
      <c r="O24" s="30" t="s">
        <v>381</v>
      </c>
      <c r="P24" s="30">
        <v>1E-3</v>
      </c>
      <c r="Q24" s="30">
        <v>0</v>
      </c>
      <c r="R24" s="30" t="s">
        <v>945</v>
      </c>
      <c r="S24" s="30">
        <v>7044</v>
      </c>
      <c r="T24" s="30">
        <v>3</v>
      </c>
      <c r="U24" s="30" t="s">
        <v>421</v>
      </c>
      <c r="V24">
        <f t="shared" si="5"/>
        <v>7044</v>
      </c>
      <c r="W24" t="s">
        <v>1018</v>
      </c>
      <c r="X24" s="30" t="s">
        <v>945</v>
      </c>
      <c r="Y24" s="30">
        <v>22</v>
      </c>
      <c r="Z24" s="30" t="s">
        <v>380</v>
      </c>
      <c r="AA24" s="30" t="s">
        <v>381</v>
      </c>
      <c r="AB24" s="30">
        <v>1E-3</v>
      </c>
      <c r="AC24" s="30">
        <v>0</v>
      </c>
      <c r="AD24" s="30" t="s">
        <v>945</v>
      </c>
      <c r="AE24" s="30">
        <v>7044</v>
      </c>
      <c r="AF24" s="30">
        <v>3</v>
      </c>
      <c r="AG24" s="30" t="s">
        <v>421</v>
      </c>
    </row>
    <row r="25" spans="1:33" x14ac:dyDescent="0.3">
      <c r="A25" s="1" t="str">
        <f t="shared" si="0"/>
        <v>Ex_BT_kWhA</v>
      </c>
      <c r="B25" s="1" t="str">
        <f t="shared" si="0"/>
        <v>Ex_BT_kWhA</v>
      </c>
      <c r="C25" s="1" t="str">
        <f t="shared" si="1"/>
        <v>Ex_BT_kWhA</v>
      </c>
      <c r="D25" s="1">
        <f t="shared" si="2"/>
        <v>23</v>
      </c>
      <c r="E25">
        <v>7047</v>
      </c>
      <c r="F25" s="16" t="s">
        <v>669</v>
      </c>
      <c r="G25" t="s">
        <v>575</v>
      </c>
      <c r="H25">
        <f t="shared" si="3"/>
        <v>7046</v>
      </c>
      <c r="J25">
        <f t="shared" si="4"/>
        <v>7046</v>
      </c>
      <c r="K25" t="s">
        <v>1018</v>
      </c>
      <c r="L25" s="30" t="s">
        <v>946</v>
      </c>
      <c r="M25" s="30">
        <v>23</v>
      </c>
      <c r="N25" s="30" t="s">
        <v>380</v>
      </c>
      <c r="O25" s="30" t="s">
        <v>381</v>
      </c>
      <c r="P25" s="30">
        <v>1E-3</v>
      </c>
      <c r="Q25" s="30">
        <v>0</v>
      </c>
      <c r="R25" s="30" t="s">
        <v>946</v>
      </c>
      <c r="S25" s="30">
        <v>7046</v>
      </c>
      <c r="T25" s="30">
        <v>3</v>
      </c>
      <c r="U25" s="30" t="s">
        <v>421</v>
      </c>
      <c r="V25">
        <f t="shared" si="5"/>
        <v>7046</v>
      </c>
      <c r="W25" t="s">
        <v>1018</v>
      </c>
      <c r="X25" s="30" t="s">
        <v>946</v>
      </c>
      <c r="Y25" s="30">
        <v>23</v>
      </c>
      <c r="Z25" s="30" t="s">
        <v>380</v>
      </c>
      <c r="AA25" s="30" t="s">
        <v>381</v>
      </c>
      <c r="AB25" s="30">
        <v>1E-3</v>
      </c>
      <c r="AC25" s="30">
        <v>0</v>
      </c>
      <c r="AD25" s="30" t="s">
        <v>946</v>
      </c>
      <c r="AE25" s="30">
        <v>7046</v>
      </c>
      <c r="AF25" s="30">
        <v>3</v>
      </c>
      <c r="AG25" s="30" t="s">
        <v>421</v>
      </c>
    </row>
    <row r="26" spans="1:33" x14ac:dyDescent="0.3">
      <c r="A26" s="1" t="str">
        <f t="shared" si="0"/>
        <v>Ex_BT_kWhB</v>
      </c>
      <c r="B26" s="1" t="str">
        <f t="shared" si="0"/>
        <v>Ex_BT_kWhB</v>
      </c>
      <c r="C26" s="1" t="str">
        <f t="shared" si="1"/>
        <v>Ex_BT_kWhB</v>
      </c>
      <c r="D26" s="1">
        <f t="shared" si="2"/>
        <v>24</v>
      </c>
      <c r="E26">
        <v>7049</v>
      </c>
      <c r="F26" s="16" t="s">
        <v>670</v>
      </c>
      <c r="G26" t="s">
        <v>576</v>
      </c>
      <c r="H26">
        <f t="shared" si="3"/>
        <v>7048</v>
      </c>
      <c r="J26">
        <f t="shared" si="4"/>
        <v>7048</v>
      </c>
      <c r="K26" t="s">
        <v>1018</v>
      </c>
      <c r="L26" s="30" t="s">
        <v>947</v>
      </c>
      <c r="M26" s="30">
        <v>24</v>
      </c>
      <c r="N26" s="30" t="s">
        <v>380</v>
      </c>
      <c r="O26" s="30" t="s">
        <v>381</v>
      </c>
      <c r="P26" s="30">
        <v>1E-3</v>
      </c>
      <c r="Q26" s="30">
        <v>0</v>
      </c>
      <c r="R26" s="30" t="s">
        <v>947</v>
      </c>
      <c r="S26" s="30">
        <v>7048</v>
      </c>
      <c r="T26" s="30">
        <v>3</v>
      </c>
      <c r="U26" s="30" t="s">
        <v>421</v>
      </c>
      <c r="V26">
        <f t="shared" si="5"/>
        <v>7048</v>
      </c>
      <c r="W26" t="s">
        <v>1018</v>
      </c>
      <c r="X26" s="30" t="s">
        <v>947</v>
      </c>
      <c r="Y26" s="30">
        <v>24</v>
      </c>
      <c r="Z26" s="30" t="s">
        <v>380</v>
      </c>
      <c r="AA26" s="30" t="s">
        <v>381</v>
      </c>
      <c r="AB26" s="30">
        <v>1E-3</v>
      </c>
      <c r="AC26" s="30">
        <v>0</v>
      </c>
      <c r="AD26" s="30" t="s">
        <v>947</v>
      </c>
      <c r="AE26" s="30">
        <v>7048</v>
      </c>
      <c r="AF26" s="30">
        <v>3</v>
      </c>
      <c r="AG26" s="30" t="s">
        <v>421</v>
      </c>
    </row>
    <row r="27" spans="1:33" x14ac:dyDescent="0.3">
      <c r="A27" s="1" t="str">
        <f t="shared" si="0"/>
        <v>Ex_BT_kWhC</v>
      </c>
      <c r="B27" s="1" t="str">
        <f t="shared" si="0"/>
        <v>Ex_BT_kWhC</v>
      </c>
      <c r="C27" s="1" t="str">
        <f t="shared" si="1"/>
        <v>Ex_BT_kWhC</v>
      </c>
      <c r="D27" s="1">
        <f t="shared" si="2"/>
        <v>25</v>
      </c>
      <c r="E27">
        <v>7051</v>
      </c>
      <c r="F27" s="16" t="s">
        <v>671</v>
      </c>
      <c r="G27" t="s">
        <v>577</v>
      </c>
      <c r="H27">
        <f t="shared" si="3"/>
        <v>7050</v>
      </c>
      <c r="J27">
        <f t="shared" si="4"/>
        <v>7050</v>
      </c>
      <c r="K27" t="s">
        <v>1018</v>
      </c>
      <c r="L27" s="30" t="s">
        <v>948</v>
      </c>
      <c r="M27" s="30">
        <v>25</v>
      </c>
      <c r="N27" s="30" t="s">
        <v>380</v>
      </c>
      <c r="O27" s="30" t="s">
        <v>381</v>
      </c>
      <c r="P27" s="30">
        <v>1E-3</v>
      </c>
      <c r="Q27" s="30">
        <v>0</v>
      </c>
      <c r="R27" s="30" t="s">
        <v>948</v>
      </c>
      <c r="S27" s="30">
        <v>7050</v>
      </c>
      <c r="T27" s="30">
        <v>3</v>
      </c>
      <c r="U27" s="30" t="s">
        <v>421</v>
      </c>
      <c r="V27">
        <f t="shared" si="5"/>
        <v>7050</v>
      </c>
      <c r="W27" t="s">
        <v>1018</v>
      </c>
      <c r="X27" s="30" t="s">
        <v>948</v>
      </c>
      <c r="Y27" s="30">
        <v>25</v>
      </c>
      <c r="Z27" s="30" t="s">
        <v>380</v>
      </c>
      <c r="AA27" s="30" t="s">
        <v>381</v>
      </c>
      <c r="AB27" s="30">
        <v>1E-3</v>
      </c>
      <c r="AC27" s="30">
        <v>0</v>
      </c>
      <c r="AD27" s="30" t="s">
        <v>948</v>
      </c>
      <c r="AE27" s="30">
        <v>7050</v>
      </c>
      <c r="AF27" s="30">
        <v>3</v>
      </c>
      <c r="AG27" s="30" t="s">
        <v>421</v>
      </c>
    </row>
    <row r="28" spans="1:33" x14ac:dyDescent="0.3">
      <c r="A28" s="1" t="b">
        <f t="shared" si="0"/>
        <v>0</v>
      </c>
      <c r="B28" s="1" t="b">
        <f t="shared" si="0"/>
        <v>0</v>
      </c>
      <c r="C28" s="1" t="b">
        <f t="shared" si="1"/>
        <v>0</v>
      </c>
      <c r="D28" s="1" t="b">
        <f t="shared" si="2"/>
        <v>0</v>
      </c>
      <c r="E28">
        <v>7053</v>
      </c>
      <c r="F28" s="16" t="s">
        <v>672</v>
      </c>
      <c r="G28" t="s">
        <v>578</v>
      </c>
      <c r="H28">
        <f t="shared" si="3"/>
        <v>7052</v>
      </c>
      <c r="J28">
        <f t="shared" si="4"/>
        <v>7052</v>
      </c>
      <c r="L28" t="s">
        <v>949</v>
      </c>
      <c r="M28">
        <v>26</v>
      </c>
      <c r="N28" t="s">
        <v>380</v>
      </c>
      <c r="O28" t="s">
        <v>381</v>
      </c>
      <c r="P28">
        <v>1E-3</v>
      </c>
      <c r="Q28">
        <v>0</v>
      </c>
      <c r="R28" t="s">
        <v>949</v>
      </c>
      <c r="S28">
        <v>7052</v>
      </c>
      <c r="T28">
        <v>3</v>
      </c>
      <c r="U28" t="s">
        <v>421</v>
      </c>
      <c r="V28">
        <f t="shared" si="5"/>
        <v>7052</v>
      </c>
      <c r="X28" t="s">
        <v>949</v>
      </c>
      <c r="Y28">
        <v>26</v>
      </c>
      <c r="Z28" t="s">
        <v>380</v>
      </c>
      <c r="AA28" t="s">
        <v>381</v>
      </c>
      <c r="AB28">
        <v>1E-3</v>
      </c>
      <c r="AC28">
        <v>0</v>
      </c>
      <c r="AD28" t="s">
        <v>949</v>
      </c>
      <c r="AE28">
        <v>7052</v>
      </c>
      <c r="AF28">
        <v>3</v>
      </c>
      <c r="AG28" t="s">
        <v>421</v>
      </c>
    </row>
    <row r="29" spans="1:33" x14ac:dyDescent="0.3">
      <c r="A29" s="1" t="b">
        <f t="shared" si="0"/>
        <v>0</v>
      </c>
      <c r="B29" s="1" t="b">
        <f t="shared" si="0"/>
        <v>0</v>
      </c>
      <c r="C29" s="1" t="b">
        <f t="shared" si="1"/>
        <v>0</v>
      </c>
      <c r="D29" s="1" t="b">
        <f t="shared" si="2"/>
        <v>0</v>
      </c>
      <c r="E29">
        <v>7055</v>
      </c>
      <c r="F29" s="16" t="s">
        <v>673</v>
      </c>
      <c r="G29" t="s">
        <v>579</v>
      </c>
      <c r="H29">
        <f t="shared" si="3"/>
        <v>7054</v>
      </c>
      <c r="J29">
        <f t="shared" si="4"/>
        <v>7054</v>
      </c>
      <c r="L29" t="s">
        <v>950</v>
      </c>
      <c r="M29">
        <v>27</v>
      </c>
      <c r="N29" t="s">
        <v>380</v>
      </c>
      <c r="O29" t="s">
        <v>381</v>
      </c>
      <c r="P29">
        <v>1E-3</v>
      </c>
      <c r="Q29">
        <v>0</v>
      </c>
      <c r="R29" t="s">
        <v>950</v>
      </c>
      <c r="S29">
        <v>7054</v>
      </c>
      <c r="T29">
        <v>3</v>
      </c>
      <c r="U29" t="s">
        <v>421</v>
      </c>
      <c r="V29">
        <f t="shared" si="5"/>
        <v>7054</v>
      </c>
      <c r="X29" t="s">
        <v>950</v>
      </c>
      <c r="Y29">
        <v>27</v>
      </c>
      <c r="Z29" t="s">
        <v>380</v>
      </c>
      <c r="AA29" t="s">
        <v>381</v>
      </c>
      <c r="AB29">
        <v>1E-3</v>
      </c>
      <c r="AC29">
        <v>0</v>
      </c>
      <c r="AD29" t="s">
        <v>950</v>
      </c>
      <c r="AE29">
        <v>7054</v>
      </c>
      <c r="AF29">
        <v>3</v>
      </c>
      <c r="AG29" t="s">
        <v>421</v>
      </c>
    </row>
    <row r="30" spans="1:33" x14ac:dyDescent="0.3">
      <c r="A30" s="1" t="b">
        <f t="shared" si="0"/>
        <v>0</v>
      </c>
      <c r="B30" s="1" t="b">
        <f t="shared" si="0"/>
        <v>0</v>
      </c>
      <c r="C30" s="1" t="b">
        <f t="shared" si="1"/>
        <v>0</v>
      </c>
      <c r="D30" s="1" t="b">
        <f t="shared" si="2"/>
        <v>0</v>
      </c>
      <c r="E30">
        <v>7057</v>
      </c>
      <c r="F30" s="16" t="s">
        <v>674</v>
      </c>
      <c r="G30" t="s">
        <v>580</v>
      </c>
      <c r="H30">
        <f t="shared" si="3"/>
        <v>7056</v>
      </c>
      <c r="J30">
        <f t="shared" si="4"/>
        <v>7056</v>
      </c>
      <c r="L30" t="s">
        <v>951</v>
      </c>
      <c r="M30">
        <v>28</v>
      </c>
      <c r="N30" t="s">
        <v>380</v>
      </c>
      <c r="O30" t="s">
        <v>381</v>
      </c>
      <c r="P30">
        <v>1E-3</v>
      </c>
      <c r="Q30">
        <v>0</v>
      </c>
      <c r="R30" t="s">
        <v>951</v>
      </c>
      <c r="S30">
        <v>7056</v>
      </c>
      <c r="T30">
        <v>3</v>
      </c>
      <c r="U30" t="s">
        <v>421</v>
      </c>
      <c r="V30">
        <f t="shared" si="5"/>
        <v>7056</v>
      </c>
      <c r="X30" t="s">
        <v>951</v>
      </c>
      <c r="Y30">
        <v>28</v>
      </c>
      <c r="Z30" t="s">
        <v>380</v>
      </c>
      <c r="AA30" t="s">
        <v>381</v>
      </c>
      <c r="AB30">
        <v>1E-3</v>
      </c>
      <c r="AC30">
        <v>0</v>
      </c>
      <c r="AD30" t="s">
        <v>951</v>
      </c>
      <c r="AE30">
        <v>7056</v>
      </c>
      <c r="AF30">
        <v>3</v>
      </c>
      <c r="AG30" t="s">
        <v>421</v>
      </c>
    </row>
    <row r="31" spans="1:33" x14ac:dyDescent="0.3">
      <c r="A31" s="1" t="str">
        <f t="shared" si="0"/>
        <v>Ex_kW_Cum_A2</v>
      </c>
      <c r="B31" s="1" t="str">
        <f t="shared" si="0"/>
        <v>Ex_kW_Cum_A2</v>
      </c>
      <c r="C31" s="1" t="str">
        <f t="shared" si="1"/>
        <v>Ex_kW_Cum_A2</v>
      </c>
      <c r="D31" s="1">
        <f t="shared" si="2"/>
        <v>29</v>
      </c>
      <c r="E31">
        <v>7059</v>
      </c>
      <c r="F31" s="16" t="s">
        <v>655</v>
      </c>
      <c r="G31" t="s">
        <v>561</v>
      </c>
      <c r="H31">
        <f t="shared" si="3"/>
        <v>7058</v>
      </c>
      <c r="J31">
        <f t="shared" si="4"/>
        <v>7058</v>
      </c>
      <c r="K31" t="s">
        <v>1018</v>
      </c>
      <c r="L31" s="30" t="s">
        <v>952</v>
      </c>
      <c r="M31" s="30">
        <v>29</v>
      </c>
      <c r="N31" s="30" t="s">
        <v>380</v>
      </c>
      <c r="O31" s="30" t="s">
        <v>381</v>
      </c>
      <c r="P31" s="30">
        <v>1E-3</v>
      </c>
      <c r="Q31" s="30">
        <v>0</v>
      </c>
      <c r="R31" s="30" t="s">
        <v>952</v>
      </c>
      <c r="S31" s="30">
        <v>7058</v>
      </c>
      <c r="T31" s="30">
        <v>3</v>
      </c>
      <c r="U31" s="30" t="s">
        <v>421</v>
      </c>
      <c r="V31">
        <f t="shared" si="5"/>
        <v>7058</v>
      </c>
      <c r="W31" t="s">
        <v>1018</v>
      </c>
      <c r="X31" s="30" t="s">
        <v>952</v>
      </c>
      <c r="Y31" s="30">
        <v>29</v>
      </c>
      <c r="Z31" s="30" t="s">
        <v>380</v>
      </c>
      <c r="AA31" s="30" t="s">
        <v>381</v>
      </c>
      <c r="AB31" s="30">
        <v>1E-3</v>
      </c>
      <c r="AC31" s="30">
        <v>0</v>
      </c>
      <c r="AD31" s="30" t="s">
        <v>952</v>
      </c>
      <c r="AE31" s="30">
        <v>7058</v>
      </c>
      <c r="AF31" s="30">
        <v>3</v>
      </c>
      <c r="AG31" s="30" t="s">
        <v>421</v>
      </c>
    </row>
    <row r="32" spans="1:33" x14ac:dyDescent="0.3">
      <c r="A32" s="1" t="str">
        <f t="shared" si="0"/>
        <v>Ex_kW_Cum_B2</v>
      </c>
      <c r="B32" s="1" t="str">
        <f t="shared" si="0"/>
        <v>Ex_kW_Cum_B2</v>
      </c>
      <c r="C32" s="1" t="str">
        <f t="shared" si="1"/>
        <v>Ex_kW_Cum_B2</v>
      </c>
      <c r="D32" s="1">
        <f t="shared" si="2"/>
        <v>30</v>
      </c>
      <c r="E32">
        <v>7061</v>
      </c>
      <c r="F32" s="16" t="s">
        <v>656</v>
      </c>
      <c r="G32" t="s">
        <v>562</v>
      </c>
      <c r="H32">
        <f t="shared" si="3"/>
        <v>7060</v>
      </c>
      <c r="J32">
        <f t="shared" si="4"/>
        <v>7060</v>
      </c>
      <c r="K32" t="s">
        <v>1018</v>
      </c>
      <c r="L32" s="30" t="s">
        <v>953</v>
      </c>
      <c r="M32" s="30">
        <v>30</v>
      </c>
      <c r="N32" s="30" t="s">
        <v>380</v>
      </c>
      <c r="O32" s="30" t="s">
        <v>381</v>
      </c>
      <c r="P32" s="30">
        <v>1E-3</v>
      </c>
      <c r="Q32" s="30">
        <v>0</v>
      </c>
      <c r="R32" s="30" t="s">
        <v>953</v>
      </c>
      <c r="S32" s="30">
        <v>7060</v>
      </c>
      <c r="T32" s="30">
        <v>3</v>
      </c>
      <c r="U32" s="30" t="s">
        <v>421</v>
      </c>
      <c r="V32">
        <f t="shared" si="5"/>
        <v>7060</v>
      </c>
      <c r="W32" t="s">
        <v>1018</v>
      </c>
      <c r="X32" s="30" t="s">
        <v>953</v>
      </c>
      <c r="Y32" s="30">
        <v>30</v>
      </c>
      <c r="Z32" s="30" t="s">
        <v>380</v>
      </c>
      <c r="AA32" s="30" t="s">
        <v>381</v>
      </c>
      <c r="AB32" s="30">
        <v>1E-3</v>
      </c>
      <c r="AC32" s="30">
        <v>0</v>
      </c>
      <c r="AD32" s="30" t="s">
        <v>953</v>
      </c>
      <c r="AE32" s="30">
        <v>7060</v>
      </c>
      <c r="AF32" s="30">
        <v>3</v>
      </c>
      <c r="AG32" s="30" t="s">
        <v>421</v>
      </c>
    </row>
    <row r="33" spans="1:33" x14ac:dyDescent="0.3">
      <c r="A33" s="1" t="str">
        <f t="shared" si="0"/>
        <v>Ex_kW_Cum_C2</v>
      </c>
      <c r="B33" s="1" t="str">
        <f t="shared" si="0"/>
        <v>Ex_kW_Cum_C2</v>
      </c>
      <c r="C33" s="1" t="str">
        <f t="shared" si="1"/>
        <v>Ex_kW_Cum_C2</v>
      </c>
      <c r="D33" s="1">
        <f t="shared" si="2"/>
        <v>31</v>
      </c>
      <c r="E33">
        <v>7063</v>
      </c>
      <c r="F33" s="16" t="s">
        <v>657</v>
      </c>
      <c r="G33" t="s">
        <v>563</v>
      </c>
      <c r="H33">
        <f t="shared" si="3"/>
        <v>7062</v>
      </c>
      <c r="J33">
        <f t="shared" si="4"/>
        <v>7062</v>
      </c>
      <c r="K33" t="s">
        <v>1018</v>
      </c>
      <c r="L33" s="30" t="s">
        <v>954</v>
      </c>
      <c r="M33" s="30">
        <v>31</v>
      </c>
      <c r="N33" s="30" t="s">
        <v>380</v>
      </c>
      <c r="O33" s="30" t="s">
        <v>381</v>
      </c>
      <c r="P33" s="30">
        <v>1E-3</v>
      </c>
      <c r="Q33" s="30">
        <v>0</v>
      </c>
      <c r="R33" s="30" t="s">
        <v>954</v>
      </c>
      <c r="S33" s="30">
        <v>7062</v>
      </c>
      <c r="T33" s="30">
        <v>3</v>
      </c>
      <c r="U33" s="30" t="s">
        <v>421</v>
      </c>
      <c r="V33">
        <f t="shared" si="5"/>
        <v>7062</v>
      </c>
      <c r="W33" t="s">
        <v>1018</v>
      </c>
      <c r="X33" s="30" t="s">
        <v>954</v>
      </c>
      <c r="Y33" s="30">
        <v>31</v>
      </c>
      <c r="Z33" s="30" t="s">
        <v>380</v>
      </c>
      <c r="AA33" s="30" t="s">
        <v>381</v>
      </c>
      <c r="AB33" s="30">
        <v>1E-3</v>
      </c>
      <c r="AC33" s="30">
        <v>0</v>
      </c>
      <c r="AD33" s="30" t="s">
        <v>954</v>
      </c>
      <c r="AE33" s="30">
        <v>7062</v>
      </c>
      <c r="AF33" s="30">
        <v>3</v>
      </c>
      <c r="AG33" s="30" t="s">
        <v>421</v>
      </c>
    </row>
    <row r="34" spans="1:33" x14ac:dyDescent="0.3">
      <c r="A34" s="1" t="str">
        <f t="shared" si="0"/>
        <v>Ex_BT_Total_kVAr</v>
      </c>
      <c r="B34" s="1" t="str">
        <f t="shared" si="0"/>
        <v>Ex_BT_Total_kVAr</v>
      </c>
      <c r="C34" s="1" t="str">
        <f t="shared" si="1"/>
        <v>Ex_BT_Total_kVAr</v>
      </c>
      <c r="D34" s="1">
        <f t="shared" si="2"/>
        <v>32</v>
      </c>
      <c r="E34">
        <v>7065</v>
      </c>
      <c r="F34" s="16" t="s">
        <v>675</v>
      </c>
      <c r="G34" t="s">
        <v>920</v>
      </c>
      <c r="H34">
        <f t="shared" si="3"/>
        <v>7064</v>
      </c>
      <c r="J34">
        <f t="shared" si="4"/>
        <v>7064</v>
      </c>
      <c r="K34" t="s">
        <v>1018</v>
      </c>
      <c r="L34" s="30" t="s">
        <v>955</v>
      </c>
      <c r="M34" s="30">
        <v>32</v>
      </c>
      <c r="N34" s="30" t="s">
        <v>380</v>
      </c>
      <c r="O34" s="30" t="s">
        <v>381</v>
      </c>
      <c r="P34" s="30">
        <v>1E-3</v>
      </c>
      <c r="Q34" s="30">
        <v>0</v>
      </c>
      <c r="R34" s="30" t="s">
        <v>955</v>
      </c>
      <c r="S34" s="30">
        <v>7064</v>
      </c>
      <c r="T34" s="30">
        <v>3</v>
      </c>
      <c r="U34" s="30" t="s">
        <v>421</v>
      </c>
      <c r="V34">
        <f t="shared" si="5"/>
        <v>7064</v>
      </c>
      <c r="W34" t="s">
        <v>1018</v>
      </c>
      <c r="X34" s="30" t="s">
        <v>955</v>
      </c>
      <c r="Y34" s="30">
        <v>32</v>
      </c>
      <c r="Z34" s="30" t="s">
        <v>380</v>
      </c>
      <c r="AA34" s="30" t="s">
        <v>381</v>
      </c>
      <c r="AB34" s="30">
        <v>1E-3</v>
      </c>
      <c r="AC34" s="30">
        <v>0</v>
      </c>
      <c r="AD34" s="30" t="s">
        <v>955</v>
      </c>
      <c r="AE34" s="30">
        <v>7064</v>
      </c>
      <c r="AF34" s="30">
        <v>3</v>
      </c>
      <c r="AG34" s="30" t="s">
        <v>421</v>
      </c>
    </row>
    <row r="35" spans="1:33" x14ac:dyDescent="0.3">
      <c r="A35" s="1" t="b">
        <f t="shared" si="0"/>
        <v>0</v>
      </c>
      <c r="B35" s="1" t="b">
        <f t="shared" si="0"/>
        <v>0</v>
      </c>
      <c r="C35" s="1" t="b">
        <f t="shared" si="1"/>
        <v>0</v>
      </c>
      <c r="D35" s="1" t="b">
        <f t="shared" si="2"/>
        <v>0</v>
      </c>
      <c r="E35">
        <v>7067</v>
      </c>
      <c r="F35" s="16" t="s">
        <v>676</v>
      </c>
      <c r="G35" t="s">
        <v>582</v>
      </c>
      <c r="H35">
        <f t="shared" si="3"/>
        <v>7066</v>
      </c>
      <c r="J35">
        <f t="shared" si="4"/>
        <v>7066</v>
      </c>
      <c r="L35" t="s">
        <v>956</v>
      </c>
      <c r="M35">
        <v>33</v>
      </c>
      <c r="N35" t="s">
        <v>380</v>
      </c>
      <c r="O35" t="s">
        <v>381</v>
      </c>
      <c r="P35">
        <v>1E-3</v>
      </c>
      <c r="Q35">
        <v>0</v>
      </c>
      <c r="R35" t="s">
        <v>956</v>
      </c>
      <c r="S35">
        <v>7066</v>
      </c>
      <c r="T35">
        <v>3</v>
      </c>
      <c r="U35" t="s">
        <v>421</v>
      </c>
      <c r="V35">
        <f t="shared" si="5"/>
        <v>7066</v>
      </c>
      <c r="X35" t="s">
        <v>956</v>
      </c>
      <c r="Y35">
        <v>33</v>
      </c>
      <c r="Z35" t="s">
        <v>380</v>
      </c>
      <c r="AA35" t="s">
        <v>381</v>
      </c>
      <c r="AB35">
        <v>1E-3</v>
      </c>
      <c r="AC35">
        <v>0</v>
      </c>
      <c r="AD35" t="s">
        <v>956</v>
      </c>
      <c r="AE35">
        <v>7066</v>
      </c>
      <c r="AF35">
        <v>3</v>
      </c>
      <c r="AG35" t="s">
        <v>421</v>
      </c>
    </row>
    <row r="36" spans="1:33" x14ac:dyDescent="0.3">
      <c r="A36" s="1" t="b">
        <f t="shared" si="0"/>
        <v>0</v>
      </c>
      <c r="B36" s="1" t="b">
        <f t="shared" si="0"/>
        <v>0</v>
      </c>
      <c r="C36" s="1" t="b">
        <f t="shared" si="1"/>
        <v>0</v>
      </c>
      <c r="D36" s="1" t="b">
        <f t="shared" si="2"/>
        <v>0</v>
      </c>
      <c r="E36">
        <v>7069</v>
      </c>
      <c r="F36" s="16" t="s">
        <v>658</v>
      </c>
      <c r="G36" t="s">
        <v>583</v>
      </c>
      <c r="H36">
        <f t="shared" si="3"/>
        <v>7068</v>
      </c>
      <c r="J36">
        <f t="shared" si="4"/>
        <v>7068</v>
      </c>
      <c r="L36" t="s">
        <v>957</v>
      </c>
      <c r="M36">
        <v>34</v>
      </c>
      <c r="N36" t="s">
        <v>380</v>
      </c>
      <c r="O36" t="s">
        <v>381</v>
      </c>
      <c r="P36">
        <v>1E-3</v>
      </c>
      <c r="Q36">
        <v>0</v>
      </c>
      <c r="R36" t="s">
        <v>957</v>
      </c>
      <c r="S36">
        <v>7068</v>
      </c>
      <c r="T36">
        <v>3</v>
      </c>
      <c r="U36" t="s">
        <v>421</v>
      </c>
      <c r="V36">
        <f t="shared" si="5"/>
        <v>7068</v>
      </c>
      <c r="X36" t="s">
        <v>957</v>
      </c>
      <c r="Y36">
        <v>34</v>
      </c>
      <c r="Z36" t="s">
        <v>380</v>
      </c>
      <c r="AA36" t="s">
        <v>381</v>
      </c>
      <c r="AB36">
        <v>1E-3</v>
      </c>
      <c r="AC36">
        <v>0</v>
      </c>
      <c r="AD36" t="s">
        <v>957</v>
      </c>
      <c r="AE36">
        <v>7068</v>
      </c>
      <c r="AF36">
        <v>3</v>
      </c>
      <c r="AG36" t="s">
        <v>421</v>
      </c>
    </row>
    <row r="37" spans="1:33" x14ac:dyDescent="0.3">
      <c r="A37" s="1" t="b">
        <f t="shared" si="0"/>
        <v>0</v>
      </c>
      <c r="B37" s="1" t="b">
        <f t="shared" si="0"/>
        <v>0</v>
      </c>
      <c r="C37" s="1" t="b">
        <f t="shared" si="1"/>
        <v>0</v>
      </c>
      <c r="D37" s="1" t="b">
        <f t="shared" si="2"/>
        <v>0</v>
      </c>
      <c r="E37">
        <v>7071</v>
      </c>
      <c r="F37" s="16" t="s">
        <v>677</v>
      </c>
      <c r="G37" t="s">
        <v>584</v>
      </c>
      <c r="H37">
        <f t="shared" si="3"/>
        <v>7070</v>
      </c>
      <c r="J37">
        <f t="shared" si="4"/>
        <v>7070</v>
      </c>
      <c r="L37" t="s">
        <v>958</v>
      </c>
      <c r="M37">
        <v>35</v>
      </c>
      <c r="N37" t="s">
        <v>380</v>
      </c>
      <c r="O37" t="s">
        <v>381</v>
      </c>
      <c r="P37">
        <v>1</v>
      </c>
      <c r="Q37">
        <v>0</v>
      </c>
      <c r="R37" t="s">
        <v>958</v>
      </c>
      <c r="S37">
        <v>7070</v>
      </c>
      <c r="T37">
        <v>3</v>
      </c>
      <c r="U37" t="s">
        <v>421</v>
      </c>
      <c r="V37">
        <f t="shared" si="5"/>
        <v>7070</v>
      </c>
      <c r="X37" t="s">
        <v>958</v>
      </c>
      <c r="Y37">
        <v>35</v>
      </c>
      <c r="Z37" t="s">
        <v>380</v>
      </c>
      <c r="AA37" t="s">
        <v>381</v>
      </c>
      <c r="AB37">
        <v>1</v>
      </c>
      <c r="AC37">
        <v>0</v>
      </c>
      <c r="AD37" t="s">
        <v>958</v>
      </c>
      <c r="AE37">
        <v>7070</v>
      </c>
      <c r="AF37">
        <v>3</v>
      </c>
      <c r="AG37" t="s">
        <v>421</v>
      </c>
    </row>
    <row r="38" spans="1:33" x14ac:dyDescent="0.3">
      <c r="A38" s="1" t="b">
        <f t="shared" si="0"/>
        <v>0</v>
      </c>
      <c r="B38" s="1" t="b">
        <f t="shared" si="0"/>
        <v>0</v>
      </c>
      <c r="C38" s="1" t="b">
        <f t="shared" si="1"/>
        <v>0</v>
      </c>
      <c r="D38" s="1" t="b">
        <f t="shared" si="2"/>
        <v>0</v>
      </c>
      <c r="E38">
        <v>7073</v>
      </c>
      <c r="F38" s="16" t="s">
        <v>678</v>
      </c>
      <c r="G38" t="s">
        <v>585</v>
      </c>
      <c r="H38">
        <f t="shared" si="3"/>
        <v>7072</v>
      </c>
      <c r="J38">
        <f t="shared" si="4"/>
        <v>7072</v>
      </c>
      <c r="L38" t="s">
        <v>959</v>
      </c>
      <c r="M38">
        <v>36</v>
      </c>
      <c r="N38" t="s">
        <v>380</v>
      </c>
      <c r="O38" t="s">
        <v>381</v>
      </c>
      <c r="P38">
        <v>1</v>
      </c>
      <c r="Q38">
        <v>0</v>
      </c>
      <c r="R38" t="s">
        <v>959</v>
      </c>
      <c r="S38">
        <v>7072</v>
      </c>
      <c r="T38">
        <v>3</v>
      </c>
      <c r="U38" t="s">
        <v>421</v>
      </c>
      <c r="V38">
        <f t="shared" si="5"/>
        <v>7072</v>
      </c>
      <c r="X38" t="s">
        <v>959</v>
      </c>
      <c r="Y38">
        <v>36</v>
      </c>
      <c r="Z38" t="s">
        <v>380</v>
      </c>
      <c r="AA38" t="s">
        <v>381</v>
      </c>
      <c r="AB38">
        <v>1</v>
      </c>
      <c r="AC38">
        <v>0</v>
      </c>
      <c r="AD38" t="s">
        <v>959</v>
      </c>
      <c r="AE38">
        <v>7072</v>
      </c>
      <c r="AF38">
        <v>3</v>
      </c>
      <c r="AG38" t="s">
        <v>421</v>
      </c>
    </row>
    <row r="39" spans="1:33" x14ac:dyDescent="0.3">
      <c r="A39" s="1" t="b">
        <f t="shared" si="0"/>
        <v>0</v>
      </c>
      <c r="B39" s="1" t="b">
        <f t="shared" si="0"/>
        <v>0</v>
      </c>
      <c r="C39" s="1" t="b">
        <f t="shared" si="1"/>
        <v>0</v>
      </c>
      <c r="D39" s="1" t="b">
        <f t="shared" si="2"/>
        <v>0</v>
      </c>
      <c r="E39">
        <v>7075</v>
      </c>
      <c r="F39" s="16" t="s">
        <v>679</v>
      </c>
      <c r="G39" t="s">
        <v>586</v>
      </c>
      <c r="H39">
        <f t="shared" si="3"/>
        <v>7074</v>
      </c>
      <c r="J39">
        <f t="shared" si="4"/>
        <v>7074</v>
      </c>
      <c r="L39" t="s">
        <v>960</v>
      </c>
      <c r="M39">
        <v>37</v>
      </c>
      <c r="N39" t="s">
        <v>380</v>
      </c>
      <c r="O39" t="s">
        <v>381</v>
      </c>
      <c r="P39">
        <v>1</v>
      </c>
      <c r="Q39">
        <v>0</v>
      </c>
      <c r="R39" t="s">
        <v>960</v>
      </c>
      <c r="S39">
        <v>7074</v>
      </c>
      <c r="T39">
        <v>3</v>
      </c>
      <c r="U39" t="s">
        <v>421</v>
      </c>
      <c r="V39">
        <f t="shared" si="5"/>
        <v>7074</v>
      </c>
      <c r="X39" t="s">
        <v>960</v>
      </c>
      <c r="Y39">
        <v>37</v>
      </c>
      <c r="Z39" t="s">
        <v>380</v>
      </c>
      <c r="AA39" t="s">
        <v>381</v>
      </c>
      <c r="AB39">
        <v>1</v>
      </c>
      <c r="AC39">
        <v>0</v>
      </c>
      <c r="AD39" t="s">
        <v>960</v>
      </c>
      <c r="AE39">
        <v>7074</v>
      </c>
      <c r="AF39">
        <v>3</v>
      </c>
      <c r="AG39" t="s">
        <v>421</v>
      </c>
    </row>
    <row r="40" spans="1:33" x14ac:dyDescent="0.3">
      <c r="A40" s="1" t="b">
        <f t="shared" si="0"/>
        <v>0</v>
      </c>
      <c r="B40" s="1" t="b">
        <f t="shared" si="0"/>
        <v>0</v>
      </c>
      <c r="C40" s="1" t="b">
        <f t="shared" si="1"/>
        <v>0</v>
      </c>
      <c r="D40" s="1" t="b">
        <f t="shared" si="2"/>
        <v>0</v>
      </c>
      <c r="E40">
        <v>7077</v>
      </c>
      <c r="F40" s="16" t="s">
        <v>680</v>
      </c>
      <c r="G40" t="s">
        <v>587</v>
      </c>
      <c r="H40">
        <f t="shared" si="3"/>
        <v>7076</v>
      </c>
      <c r="J40">
        <f t="shared" si="4"/>
        <v>7076</v>
      </c>
      <c r="L40" t="s">
        <v>961</v>
      </c>
      <c r="M40">
        <v>38</v>
      </c>
      <c r="N40" t="s">
        <v>380</v>
      </c>
      <c r="O40" t="s">
        <v>381</v>
      </c>
      <c r="P40">
        <v>1</v>
      </c>
      <c r="Q40">
        <v>0</v>
      </c>
      <c r="R40" t="s">
        <v>961</v>
      </c>
      <c r="S40">
        <v>7076</v>
      </c>
      <c r="T40">
        <v>3</v>
      </c>
      <c r="U40" t="s">
        <v>421</v>
      </c>
      <c r="V40">
        <f t="shared" si="5"/>
        <v>7076</v>
      </c>
      <c r="X40" t="s">
        <v>961</v>
      </c>
      <c r="Y40">
        <v>38</v>
      </c>
      <c r="Z40" t="s">
        <v>380</v>
      </c>
      <c r="AA40" t="s">
        <v>381</v>
      </c>
      <c r="AB40">
        <v>1</v>
      </c>
      <c r="AC40">
        <v>0</v>
      </c>
      <c r="AD40" t="s">
        <v>961</v>
      </c>
      <c r="AE40">
        <v>7076</v>
      </c>
      <c r="AF40">
        <v>3</v>
      </c>
      <c r="AG40" t="s">
        <v>421</v>
      </c>
    </row>
    <row r="41" spans="1:33" x14ac:dyDescent="0.3">
      <c r="A41" s="1" t="b">
        <f t="shared" si="0"/>
        <v>0</v>
      </c>
      <c r="B41" s="1" t="b">
        <f t="shared" si="0"/>
        <v>0</v>
      </c>
      <c r="C41" s="1" t="b">
        <f t="shared" si="1"/>
        <v>0</v>
      </c>
      <c r="D41" s="1" t="b">
        <f t="shared" si="2"/>
        <v>0</v>
      </c>
      <c r="E41">
        <v>7079</v>
      </c>
      <c r="F41" s="16" t="s">
        <v>681</v>
      </c>
      <c r="G41" t="s">
        <v>588</v>
      </c>
      <c r="H41">
        <f t="shared" si="3"/>
        <v>7078</v>
      </c>
      <c r="J41">
        <f t="shared" si="4"/>
        <v>7078</v>
      </c>
      <c r="L41" t="s">
        <v>962</v>
      </c>
      <c r="M41">
        <v>39</v>
      </c>
      <c r="N41" t="s">
        <v>380</v>
      </c>
      <c r="O41" t="s">
        <v>381</v>
      </c>
      <c r="P41">
        <v>1</v>
      </c>
      <c r="Q41">
        <v>0</v>
      </c>
      <c r="R41" t="s">
        <v>962</v>
      </c>
      <c r="S41">
        <v>7078</v>
      </c>
      <c r="T41">
        <v>3</v>
      </c>
      <c r="U41" t="s">
        <v>421</v>
      </c>
      <c r="V41">
        <f t="shared" si="5"/>
        <v>7078</v>
      </c>
      <c r="X41" t="s">
        <v>962</v>
      </c>
      <c r="Y41">
        <v>39</v>
      </c>
      <c r="Z41" t="s">
        <v>380</v>
      </c>
      <c r="AA41" t="s">
        <v>381</v>
      </c>
      <c r="AB41">
        <v>1</v>
      </c>
      <c r="AC41">
        <v>0</v>
      </c>
      <c r="AD41" t="s">
        <v>962</v>
      </c>
      <c r="AE41">
        <v>7078</v>
      </c>
      <c r="AF41">
        <v>3</v>
      </c>
      <c r="AG41" t="s">
        <v>421</v>
      </c>
    </row>
    <row r="42" spans="1:33" x14ac:dyDescent="0.3">
      <c r="A42" s="1" t="b">
        <f t="shared" si="0"/>
        <v>0</v>
      </c>
      <c r="B42" s="1" t="b">
        <f t="shared" si="0"/>
        <v>0</v>
      </c>
      <c r="C42" s="1" t="b">
        <f t="shared" si="1"/>
        <v>0</v>
      </c>
      <c r="D42" s="1" t="b">
        <f t="shared" si="2"/>
        <v>0</v>
      </c>
      <c r="E42">
        <v>7081</v>
      </c>
      <c r="F42" s="16" t="s">
        <v>682</v>
      </c>
      <c r="G42" t="s">
        <v>589</v>
      </c>
      <c r="H42">
        <f t="shared" si="3"/>
        <v>7080</v>
      </c>
      <c r="J42">
        <f t="shared" si="4"/>
        <v>7080</v>
      </c>
      <c r="L42" t="s">
        <v>963</v>
      </c>
      <c r="M42">
        <v>40</v>
      </c>
      <c r="N42" t="s">
        <v>380</v>
      </c>
      <c r="O42" t="s">
        <v>381</v>
      </c>
      <c r="P42">
        <v>1</v>
      </c>
      <c r="Q42">
        <v>0</v>
      </c>
      <c r="R42" t="s">
        <v>963</v>
      </c>
      <c r="S42">
        <v>7080</v>
      </c>
      <c r="T42">
        <v>3</v>
      </c>
      <c r="U42" t="s">
        <v>421</v>
      </c>
      <c r="V42">
        <f t="shared" si="5"/>
        <v>7080</v>
      </c>
      <c r="X42" t="s">
        <v>963</v>
      </c>
      <c r="Y42">
        <v>40</v>
      </c>
      <c r="Z42" t="s">
        <v>380</v>
      </c>
      <c r="AA42" t="s">
        <v>381</v>
      </c>
      <c r="AB42">
        <v>1</v>
      </c>
      <c r="AC42">
        <v>0</v>
      </c>
      <c r="AD42" t="s">
        <v>963</v>
      </c>
      <c r="AE42">
        <v>7080</v>
      </c>
      <c r="AF42">
        <v>3</v>
      </c>
      <c r="AG42" t="s">
        <v>421</v>
      </c>
    </row>
    <row r="43" spans="1:33" x14ac:dyDescent="0.3">
      <c r="A43" s="1" t="b">
        <f t="shared" si="0"/>
        <v>0</v>
      </c>
      <c r="B43" s="1" t="b">
        <f t="shared" si="0"/>
        <v>0</v>
      </c>
      <c r="C43" s="1" t="b">
        <f t="shared" si="1"/>
        <v>0</v>
      </c>
      <c r="D43" s="1" t="b">
        <f t="shared" si="2"/>
        <v>0</v>
      </c>
      <c r="E43">
        <v>7083</v>
      </c>
      <c r="F43" s="16" t="s">
        <v>683</v>
      </c>
      <c r="G43" t="s">
        <v>590</v>
      </c>
      <c r="H43">
        <f t="shared" si="3"/>
        <v>7082</v>
      </c>
      <c r="J43">
        <f t="shared" si="4"/>
        <v>7082</v>
      </c>
      <c r="L43" t="s">
        <v>964</v>
      </c>
      <c r="M43">
        <v>41</v>
      </c>
      <c r="N43" t="s">
        <v>380</v>
      </c>
      <c r="O43" t="s">
        <v>381</v>
      </c>
      <c r="P43">
        <v>1</v>
      </c>
      <c r="Q43">
        <v>0</v>
      </c>
      <c r="R43" t="s">
        <v>964</v>
      </c>
      <c r="S43">
        <v>7082</v>
      </c>
      <c r="T43">
        <v>3</v>
      </c>
      <c r="U43" t="s">
        <v>421</v>
      </c>
      <c r="V43">
        <f t="shared" si="5"/>
        <v>7082</v>
      </c>
      <c r="X43" t="s">
        <v>964</v>
      </c>
      <c r="Y43">
        <v>41</v>
      </c>
      <c r="Z43" t="s">
        <v>380</v>
      </c>
      <c r="AA43" t="s">
        <v>381</v>
      </c>
      <c r="AB43">
        <v>1</v>
      </c>
      <c r="AC43">
        <v>0</v>
      </c>
      <c r="AD43" t="s">
        <v>964</v>
      </c>
      <c r="AE43">
        <v>7082</v>
      </c>
      <c r="AF43">
        <v>3</v>
      </c>
      <c r="AG43" t="s">
        <v>421</v>
      </c>
    </row>
    <row r="44" spans="1:33" x14ac:dyDescent="0.3">
      <c r="A44" s="1" t="b">
        <f t="shared" si="0"/>
        <v>0</v>
      </c>
      <c r="B44" s="1" t="b">
        <f t="shared" si="0"/>
        <v>0</v>
      </c>
      <c r="C44" s="1" t="b">
        <f t="shared" si="1"/>
        <v>0</v>
      </c>
      <c r="D44" s="1" t="b">
        <f t="shared" si="2"/>
        <v>0</v>
      </c>
      <c r="E44">
        <v>7085</v>
      </c>
      <c r="F44" s="16" t="s">
        <v>684</v>
      </c>
      <c r="G44" t="s">
        <v>591</v>
      </c>
      <c r="H44">
        <f t="shared" si="3"/>
        <v>7084</v>
      </c>
      <c r="J44">
        <f t="shared" si="4"/>
        <v>7084</v>
      </c>
      <c r="L44" t="s">
        <v>965</v>
      </c>
      <c r="M44">
        <v>42</v>
      </c>
      <c r="N44" t="s">
        <v>380</v>
      </c>
      <c r="O44" t="s">
        <v>381</v>
      </c>
      <c r="P44">
        <v>1</v>
      </c>
      <c r="Q44">
        <v>0</v>
      </c>
      <c r="R44" t="s">
        <v>965</v>
      </c>
      <c r="S44">
        <v>7084</v>
      </c>
      <c r="T44">
        <v>3</v>
      </c>
      <c r="U44" t="s">
        <v>421</v>
      </c>
      <c r="V44">
        <f t="shared" si="5"/>
        <v>7084</v>
      </c>
      <c r="X44" t="s">
        <v>965</v>
      </c>
      <c r="Y44">
        <v>42</v>
      </c>
      <c r="Z44" t="s">
        <v>380</v>
      </c>
      <c r="AA44" t="s">
        <v>381</v>
      </c>
      <c r="AB44">
        <v>1</v>
      </c>
      <c r="AC44">
        <v>0</v>
      </c>
      <c r="AD44" t="s">
        <v>965</v>
      </c>
      <c r="AE44">
        <v>7084</v>
      </c>
      <c r="AF44">
        <v>3</v>
      </c>
      <c r="AG44" t="s">
        <v>421</v>
      </c>
    </row>
    <row r="45" spans="1:33" x14ac:dyDescent="0.3">
      <c r="A45" s="1" t="b">
        <f t="shared" si="0"/>
        <v>0</v>
      </c>
      <c r="B45" s="1" t="b">
        <f t="shared" si="0"/>
        <v>0</v>
      </c>
      <c r="C45" s="1" t="b">
        <f t="shared" si="1"/>
        <v>0</v>
      </c>
      <c r="D45" s="1" t="b">
        <f t="shared" si="2"/>
        <v>0</v>
      </c>
      <c r="E45">
        <v>7087</v>
      </c>
      <c r="F45" s="16" t="s">
        <v>685</v>
      </c>
      <c r="G45" t="s">
        <v>592</v>
      </c>
      <c r="H45">
        <f t="shared" si="3"/>
        <v>7086</v>
      </c>
      <c r="J45">
        <f t="shared" si="4"/>
        <v>7086</v>
      </c>
      <c r="L45" t="s">
        <v>966</v>
      </c>
      <c r="M45">
        <v>43</v>
      </c>
      <c r="N45" t="s">
        <v>380</v>
      </c>
      <c r="O45" t="s">
        <v>381</v>
      </c>
      <c r="P45">
        <v>1</v>
      </c>
      <c r="Q45">
        <v>0</v>
      </c>
      <c r="R45" t="s">
        <v>966</v>
      </c>
      <c r="S45">
        <v>7086</v>
      </c>
      <c r="T45">
        <v>3</v>
      </c>
      <c r="U45" t="s">
        <v>421</v>
      </c>
      <c r="V45">
        <f t="shared" si="5"/>
        <v>7086</v>
      </c>
      <c r="X45" t="s">
        <v>966</v>
      </c>
      <c r="Y45">
        <v>43</v>
      </c>
      <c r="Z45" t="s">
        <v>380</v>
      </c>
      <c r="AA45" t="s">
        <v>381</v>
      </c>
      <c r="AB45">
        <v>1</v>
      </c>
      <c r="AC45">
        <v>0</v>
      </c>
      <c r="AD45" t="s">
        <v>966</v>
      </c>
      <c r="AE45">
        <v>7086</v>
      </c>
      <c r="AF45">
        <v>3</v>
      </c>
      <c r="AG45" t="s">
        <v>421</v>
      </c>
    </row>
    <row r="46" spans="1:33" x14ac:dyDescent="0.3">
      <c r="A46" s="1" t="b">
        <f t="shared" si="0"/>
        <v>0</v>
      </c>
      <c r="B46" s="1" t="b">
        <f t="shared" si="0"/>
        <v>0</v>
      </c>
      <c r="C46" s="1" t="b">
        <f t="shared" si="1"/>
        <v>0</v>
      </c>
      <c r="D46" s="1" t="b">
        <f t="shared" si="2"/>
        <v>0</v>
      </c>
      <c r="E46">
        <v>7089</v>
      </c>
      <c r="F46" s="16" t="s">
        <v>686</v>
      </c>
      <c r="G46" t="s">
        <v>593</v>
      </c>
      <c r="H46">
        <f t="shared" si="3"/>
        <v>7088</v>
      </c>
      <c r="J46">
        <f t="shared" si="4"/>
        <v>7088</v>
      </c>
      <c r="L46" t="s">
        <v>967</v>
      </c>
      <c r="M46">
        <v>44</v>
      </c>
      <c r="N46" t="s">
        <v>380</v>
      </c>
      <c r="O46" t="s">
        <v>381</v>
      </c>
      <c r="P46">
        <v>1E-3</v>
      </c>
      <c r="Q46">
        <v>0</v>
      </c>
      <c r="R46" t="s">
        <v>967</v>
      </c>
      <c r="S46">
        <v>7088</v>
      </c>
      <c r="T46">
        <v>3</v>
      </c>
      <c r="U46" t="s">
        <v>421</v>
      </c>
      <c r="V46">
        <f t="shared" si="5"/>
        <v>7088</v>
      </c>
      <c r="X46" t="s">
        <v>967</v>
      </c>
      <c r="Y46">
        <v>44</v>
      </c>
      <c r="Z46" t="s">
        <v>380</v>
      </c>
      <c r="AA46" t="s">
        <v>381</v>
      </c>
      <c r="AB46">
        <v>1E-3</v>
      </c>
      <c r="AC46">
        <v>0</v>
      </c>
      <c r="AD46" t="s">
        <v>967</v>
      </c>
      <c r="AE46">
        <v>7088</v>
      </c>
      <c r="AF46">
        <v>3</v>
      </c>
      <c r="AG46" t="s">
        <v>421</v>
      </c>
    </row>
    <row r="47" spans="1:33" x14ac:dyDescent="0.3">
      <c r="A47" s="1" t="b">
        <f t="shared" si="0"/>
        <v>0</v>
      </c>
      <c r="B47" s="1" t="b">
        <f t="shared" si="0"/>
        <v>0</v>
      </c>
      <c r="C47" s="1" t="b">
        <f t="shared" si="1"/>
        <v>0</v>
      </c>
      <c r="D47" s="1" t="b">
        <f t="shared" si="2"/>
        <v>0</v>
      </c>
      <c r="E47">
        <v>7091</v>
      </c>
      <c r="F47" s="16" t="s">
        <v>687</v>
      </c>
      <c r="G47" t="s">
        <v>594</v>
      </c>
      <c r="H47">
        <f t="shared" si="3"/>
        <v>7090</v>
      </c>
      <c r="J47">
        <f t="shared" si="4"/>
        <v>7090</v>
      </c>
      <c r="L47" t="s">
        <v>968</v>
      </c>
      <c r="M47">
        <v>45</v>
      </c>
      <c r="N47" t="s">
        <v>380</v>
      </c>
      <c r="O47" t="s">
        <v>381</v>
      </c>
      <c r="P47">
        <v>1E-3</v>
      </c>
      <c r="Q47">
        <v>0</v>
      </c>
      <c r="R47" t="s">
        <v>968</v>
      </c>
      <c r="S47">
        <v>7090</v>
      </c>
      <c r="T47">
        <v>3</v>
      </c>
      <c r="U47" t="s">
        <v>421</v>
      </c>
      <c r="V47">
        <f t="shared" si="5"/>
        <v>7090</v>
      </c>
      <c r="X47" t="s">
        <v>968</v>
      </c>
      <c r="Y47">
        <v>45</v>
      </c>
      <c r="Z47" t="s">
        <v>380</v>
      </c>
      <c r="AA47" t="s">
        <v>381</v>
      </c>
      <c r="AB47">
        <v>1E-3</v>
      </c>
      <c r="AC47">
        <v>0</v>
      </c>
      <c r="AD47" t="s">
        <v>968</v>
      </c>
      <c r="AE47">
        <v>7090</v>
      </c>
      <c r="AF47">
        <v>3</v>
      </c>
      <c r="AG47" t="s">
        <v>421</v>
      </c>
    </row>
    <row r="48" spans="1:33" x14ac:dyDescent="0.3">
      <c r="A48" s="1" t="b">
        <f t="shared" si="0"/>
        <v>0</v>
      </c>
      <c r="B48" s="1" t="b">
        <f t="shared" si="0"/>
        <v>0</v>
      </c>
      <c r="C48" s="1" t="b">
        <f t="shared" si="1"/>
        <v>0</v>
      </c>
      <c r="D48" s="1" t="b">
        <f t="shared" si="2"/>
        <v>0</v>
      </c>
      <c r="E48">
        <v>7093</v>
      </c>
      <c r="F48" s="16" t="s">
        <v>688</v>
      </c>
      <c r="G48" t="s">
        <v>595</v>
      </c>
      <c r="H48">
        <f t="shared" si="3"/>
        <v>7092</v>
      </c>
      <c r="J48">
        <f t="shared" si="4"/>
        <v>7092</v>
      </c>
      <c r="L48" t="s">
        <v>969</v>
      </c>
      <c r="M48">
        <v>46</v>
      </c>
      <c r="N48" t="s">
        <v>380</v>
      </c>
      <c r="O48" t="s">
        <v>381</v>
      </c>
      <c r="P48">
        <v>1E-3</v>
      </c>
      <c r="Q48">
        <v>0</v>
      </c>
      <c r="R48" t="s">
        <v>969</v>
      </c>
      <c r="S48">
        <v>7092</v>
      </c>
      <c r="T48">
        <v>3</v>
      </c>
      <c r="U48" t="s">
        <v>421</v>
      </c>
      <c r="V48">
        <f t="shared" si="5"/>
        <v>7092</v>
      </c>
      <c r="X48" t="s">
        <v>969</v>
      </c>
      <c r="Y48">
        <v>46</v>
      </c>
      <c r="Z48" t="s">
        <v>380</v>
      </c>
      <c r="AA48" t="s">
        <v>381</v>
      </c>
      <c r="AB48">
        <v>1E-3</v>
      </c>
      <c r="AC48">
        <v>0</v>
      </c>
      <c r="AD48" t="s">
        <v>969</v>
      </c>
      <c r="AE48">
        <v>7092</v>
      </c>
      <c r="AF48">
        <v>3</v>
      </c>
      <c r="AG48" t="s">
        <v>421</v>
      </c>
    </row>
    <row r="49" spans="1:33" x14ac:dyDescent="0.3">
      <c r="A49" s="1" t="b">
        <f t="shared" si="0"/>
        <v>0</v>
      </c>
      <c r="B49" s="1" t="b">
        <f t="shared" si="0"/>
        <v>0</v>
      </c>
      <c r="C49" s="1" t="b">
        <f t="shared" si="1"/>
        <v>0</v>
      </c>
      <c r="D49" s="1" t="b">
        <f t="shared" si="2"/>
        <v>0</v>
      </c>
      <c r="E49">
        <v>7095</v>
      </c>
      <c r="F49" s="16" t="s">
        <v>689</v>
      </c>
      <c r="G49" t="s">
        <v>596</v>
      </c>
      <c r="H49">
        <f t="shared" si="3"/>
        <v>7094</v>
      </c>
      <c r="J49">
        <f t="shared" si="4"/>
        <v>7094</v>
      </c>
      <c r="L49" t="s">
        <v>970</v>
      </c>
      <c r="M49">
        <v>47</v>
      </c>
      <c r="N49" t="s">
        <v>380</v>
      </c>
      <c r="O49" t="s">
        <v>381</v>
      </c>
      <c r="P49">
        <v>1E-3</v>
      </c>
      <c r="Q49">
        <v>0</v>
      </c>
      <c r="R49" t="s">
        <v>970</v>
      </c>
      <c r="S49">
        <v>7094</v>
      </c>
      <c r="T49">
        <v>3</v>
      </c>
      <c r="U49" t="s">
        <v>421</v>
      </c>
      <c r="V49">
        <f t="shared" si="5"/>
        <v>7094</v>
      </c>
      <c r="X49" t="s">
        <v>970</v>
      </c>
      <c r="Y49">
        <v>47</v>
      </c>
      <c r="Z49" t="s">
        <v>380</v>
      </c>
      <c r="AA49" t="s">
        <v>381</v>
      </c>
      <c r="AB49">
        <v>1E-3</v>
      </c>
      <c r="AC49">
        <v>0</v>
      </c>
      <c r="AD49" t="s">
        <v>970</v>
      </c>
      <c r="AE49">
        <v>7094</v>
      </c>
      <c r="AF49">
        <v>3</v>
      </c>
      <c r="AG49" t="s">
        <v>421</v>
      </c>
    </row>
    <row r="50" spans="1:33" x14ac:dyDescent="0.3">
      <c r="A50" s="1" t="b">
        <f t="shared" si="0"/>
        <v>0</v>
      </c>
      <c r="B50" s="1" t="b">
        <f t="shared" si="0"/>
        <v>0</v>
      </c>
      <c r="C50" s="1" t="b">
        <f t="shared" si="1"/>
        <v>0</v>
      </c>
      <c r="D50" s="1" t="b">
        <f t="shared" si="2"/>
        <v>0</v>
      </c>
      <c r="E50">
        <v>7097</v>
      </c>
      <c r="F50" s="16" t="s">
        <v>690</v>
      </c>
      <c r="G50" t="s">
        <v>597</v>
      </c>
      <c r="H50">
        <f t="shared" si="3"/>
        <v>7096</v>
      </c>
      <c r="J50">
        <f t="shared" si="4"/>
        <v>7096</v>
      </c>
      <c r="L50" t="s">
        <v>971</v>
      </c>
      <c r="M50">
        <v>48</v>
      </c>
      <c r="N50" t="s">
        <v>380</v>
      </c>
      <c r="O50" t="s">
        <v>381</v>
      </c>
      <c r="P50">
        <v>1E-3</v>
      </c>
      <c r="Q50">
        <v>0</v>
      </c>
      <c r="R50" t="s">
        <v>971</v>
      </c>
      <c r="S50">
        <v>7096</v>
      </c>
      <c r="T50">
        <v>3</v>
      </c>
      <c r="U50" t="s">
        <v>421</v>
      </c>
      <c r="V50">
        <f t="shared" si="5"/>
        <v>7096</v>
      </c>
      <c r="X50" t="s">
        <v>971</v>
      </c>
      <c r="Y50">
        <v>48</v>
      </c>
      <c r="Z50" t="s">
        <v>380</v>
      </c>
      <c r="AA50" t="s">
        <v>381</v>
      </c>
      <c r="AB50">
        <v>1E-3</v>
      </c>
      <c r="AC50">
        <v>0</v>
      </c>
      <c r="AD50" t="s">
        <v>971</v>
      </c>
      <c r="AE50">
        <v>7096</v>
      </c>
      <c r="AF50">
        <v>3</v>
      </c>
      <c r="AG50" t="s">
        <v>421</v>
      </c>
    </row>
    <row r="51" spans="1:33" x14ac:dyDescent="0.3">
      <c r="A51" s="1" t="b">
        <f t="shared" si="0"/>
        <v>0</v>
      </c>
      <c r="B51" s="1" t="b">
        <f t="shared" si="0"/>
        <v>0</v>
      </c>
      <c r="C51" s="1" t="b">
        <f t="shared" si="1"/>
        <v>0</v>
      </c>
      <c r="D51" s="1" t="b">
        <f t="shared" si="2"/>
        <v>0</v>
      </c>
      <c r="E51">
        <v>7099</v>
      </c>
      <c r="F51" s="16" t="s">
        <v>691</v>
      </c>
      <c r="G51" t="s">
        <v>598</v>
      </c>
      <c r="H51">
        <f t="shared" si="3"/>
        <v>7098</v>
      </c>
      <c r="J51">
        <f t="shared" si="4"/>
        <v>7098</v>
      </c>
      <c r="L51" t="s">
        <v>972</v>
      </c>
      <c r="M51">
        <v>49</v>
      </c>
      <c r="N51" t="s">
        <v>380</v>
      </c>
      <c r="O51" t="s">
        <v>381</v>
      </c>
      <c r="P51">
        <v>1E-3</v>
      </c>
      <c r="Q51">
        <v>0</v>
      </c>
      <c r="R51" t="s">
        <v>972</v>
      </c>
      <c r="S51">
        <v>7098</v>
      </c>
      <c r="T51">
        <v>3</v>
      </c>
      <c r="U51" t="s">
        <v>421</v>
      </c>
      <c r="V51">
        <f t="shared" si="5"/>
        <v>7098</v>
      </c>
      <c r="X51" t="s">
        <v>972</v>
      </c>
      <c r="Y51">
        <v>49</v>
      </c>
      <c r="Z51" t="s">
        <v>380</v>
      </c>
      <c r="AA51" t="s">
        <v>381</v>
      </c>
      <c r="AB51">
        <v>1E-3</v>
      </c>
      <c r="AC51">
        <v>0</v>
      </c>
      <c r="AD51" t="s">
        <v>972</v>
      </c>
      <c r="AE51">
        <v>7098</v>
      </c>
      <c r="AF51">
        <v>3</v>
      </c>
      <c r="AG51" t="s">
        <v>421</v>
      </c>
    </row>
    <row r="52" spans="1:33" x14ac:dyDescent="0.3">
      <c r="A52" s="1" t="b">
        <f t="shared" si="0"/>
        <v>0</v>
      </c>
      <c r="B52" s="1" t="b">
        <f t="shared" si="0"/>
        <v>0</v>
      </c>
      <c r="C52" s="1" t="b">
        <f t="shared" si="1"/>
        <v>0</v>
      </c>
      <c r="D52" s="1" t="b">
        <f t="shared" si="2"/>
        <v>0</v>
      </c>
      <c r="E52">
        <v>7101</v>
      </c>
      <c r="F52" s="16" t="s">
        <v>692</v>
      </c>
      <c r="G52" t="s">
        <v>599</v>
      </c>
      <c r="H52">
        <f t="shared" si="3"/>
        <v>7100</v>
      </c>
      <c r="J52">
        <f t="shared" si="4"/>
        <v>7100</v>
      </c>
      <c r="L52" t="s">
        <v>973</v>
      </c>
      <c r="M52">
        <v>50</v>
      </c>
      <c r="N52" t="s">
        <v>380</v>
      </c>
      <c r="O52" t="s">
        <v>381</v>
      </c>
      <c r="P52">
        <v>1E-3</v>
      </c>
      <c r="Q52">
        <v>0</v>
      </c>
      <c r="R52" t="s">
        <v>973</v>
      </c>
      <c r="S52">
        <v>7100</v>
      </c>
      <c r="T52">
        <v>3</v>
      </c>
      <c r="U52" t="s">
        <v>421</v>
      </c>
      <c r="V52">
        <f t="shared" si="5"/>
        <v>7100</v>
      </c>
      <c r="X52" t="s">
        <v>973</v>
      </c>
      <c r="Y52">
        <v>50</v>
      </c>
      <c r="Z52" t="s">
        <v>380</v>
      </c>
      <c r="AA52" t="s">
        <v>381</v>
      </c>
      <c r="AB52">
        <v>1E-3</v>
      </c>
      <c r="AC52">
        <v>0</v>
      </c>
      <c r="AD52" t="s">
        <v>973</v>
      </c>
      <c r="AE52">
        <v>7100</v>
      </c>
      <c r="AF52">
        <v>3</v>
      </c>
      <c r="AG52" t="s">
        <v>421</v>
      </c>
    </row>
    <row r="53" spans="1:33" x14ac:dyDescent="0.3">
      <c r="A53" s="1" t="b">
        <f t="shared" si="0"/>
        <v>0</v>
      </c>
      <c r="B53" s="1" t="b">
        <f t="shared" si="0"/>
        <v>0</v>
      </c>
      <c r="C53" s="1" t="b">
        <f t="shared" si="1"/>
        <v>0</v>
      </c>
      <c r="D53" s="1" t="b">
        <f t="shared" si="2"/>
        <v>0</v>
      </c>
      <c r="E53">
        <v>7103</v>
      </c>
      <c r="F53" s="16" t="s">
        <v>693</v>
      </c>
      <c r="G53" t="s">
        <v>600</v>
      </c>
      <c r="H53">
        <f t="shared" si="3"/>
        <v>7102</v>
      </c>
      <c r="J53">
        <f t="shared" si="4"/>
        <v>7102</v>
      </c>
      <c r="L53" t="s">
        <v>974</v>
      </c>
      <c r="M53">
        <v>51</v>
      </c>
      <c r="N53" t="s">
        <v>380</v>
      </c>
      <c r="O53" t="s">
        <v>381</v>
      </c>
      <c r="P53">
        <v>1E-3</v>
      </c>
      <c r="Q53">
        <v>0</v>
      </c>
      <c r="R53" t="s">
        <v>974</v>
      </c>
      <c r="S53">
        <v>7102</v>
      </c>
      <c r="T53">
        <v>3</v>
      </c>
      <c r="U53" t="s">
        <v>421</v>
      </c>
      <c r="V53">
        <f t="shared" si="5"/>
        <v>7102</v>
      </c>
      <c r="X53" t="s">
        <v>974</v>
      </c>
      <c r="Y53">
        <v>51</v>
      </c>
      <c r="Z53" t="s">
        <v>380</v>
      </c>
      <c r="AA53" t="s">
        <v>381</v>
      </c>
      <c r="AB53">
        <v>1E-3</v>
      </c>
      <c r="AC53">
        <v>0</v>
      </c>
      <c r="AD53" t="s">
        <v>974</v>
      </c>
      <c r="AE53">
        <v>7102</v>
      </c>
      <c r="AF53">
        <v>3</v>
      </c>
      <c r="AG53" t="s">
        <v>421</v>
      </c>
    </row>
    <row r="54" spans="1:33" x14ac:dyDescent="0.3">
      <c r="A54" s="1" t="b">
        <f t="shared" si="0"/>
        <v>0</v>
      </c>
      <c r="B54" s="1" t="b">
        <f t="shared" si="0"/>
        <v>0</v>
      </c>
      <c r="C54" s="1" t="b">
        <f t="shared" si="1"/>
        <v>0</v>
      </c>
      <c r="D54" s="1" t="b">
        <f t="shared" si="2"/>
        <v>0</v>
      </c>
      <c r="E54">
        <v>7105</v>
      </c>
      <c r="F54" s="16" t="s">
        <v>694</v>
      </c>
      <c r="G54" t="s">
        <v>601</v>
      </c>
      <c r="H54">
        <f t="shared" si="3"/>
        <v>7104</v>
      </c>
      <c r="J54">
        <f t="shared" si="4"/>
        <v>7104</v>
      </c>
      <c r="L54" t="s">
        <v>975</v>
      </c>
      <c r="M54">
        <v>52</v>
      </c>
      <c r="N54" t="s">
        <v>380</v>
      </c>
      <c r="O54" t="s">
        <v>381</v>
      </c>
      <c r="P54">
        <v>1E-3</v>
      </c>
      <c r="Q54">
        <v>0</v>
      </c>
      <c r="R54" t="s">
        <v>975</v>
      </c>
      <c r="S54">
        <v>7104</v>
      </c>
      <c r="T54">
        <v>3</v>
      </c>
      <c r="U54" t="s">
        <v>421</v>
      </c>
      <c r="V54">
        <f t="shared" si="5"/>
        <v>7104</v>
      </c>
      <c r="X54" t="s">
        <v>975</v>
      </c>
      <c r="Y54">
        <v>52</v>
      </c>
      <c r="Z54" t="s">
        <v>380</v>
      </c>
      <c r="AA54" t="s">
        <v>381</v>
      </c>
      <c r="AB54">
        <v>1E-3</v>
      </c>
      <c r="AC54">
        <v>0</v>
      </c>
      <c r="AD54" t="s">
        <v>975</v>
      </c>
      <c r="AE54">
        <v>7104</v>
      </c>
      <c r="AF54">
        <v>3</v>
      </c>
      <c r="AG54" t="s">
        <v>421</v>
      </c>
    </row>
    <row r="55" spans="1:33" x14ac:dyDescent="0.3">
      <c r="A55" s="1" t="b">
        <f t="shared" si="0"/>
        <v>0</v>
      </c>
      <c r="B55" s="1" t="b">
        <f t="shared" si="0"/>
        <v>0</v>
      </c>
      <c r="C55" s="1" t="b">
        <f t="shared" si="1"/>
        <v>0</v>
      </c>
      <c r="D55" s="1" t="b">
        <f t="shared" si="2"/>
        <v>0</v>
      </c>
      <c r="E55">
        <v>7107</v>
      </c>
      <c r="F55" s="16" t="s">
        <v>695</v>
      </c>
      <c r="G55" t="s">
        <v>602</v>
      </c>
      <c r="H55">
        <f t="shared" si="3"/>
        <v>7106</v>
      </c>
      <c r="J55">
        <f t="shared" si="4"/>
        <v>7106</v>
      </c>
      <c r="L55" t="s">
        <v>602</v>
      </c>
      <c r="M55">
        <v>53</v>
      </c>
      <c r="N55" t="s">
        <v>380</v>
      </c>
      <c r="O55" t="s">
        <v>381</v>
      </c>
      <c r="P55">
        <v>1</v>
      </c>
      <c r="Q55">
        <v>0</v>
      </c>
      <c r="R55" t="s">
        <v>602</v>
      </c>
      <c r="S55">
        <v>7106</v>
      </c>
      <c r="T55">
        <v>3</v>
      </c>
      <c r="U55" t="s">
        <v>421</v>
      </c>
      <c r="V55">
        <f t="shared" si="5"/>
        <v>7106</v>
      </c>
      <c r="X55" t="s">
        <v>602</v>
      </c>
      <c r="Y55">
        <v>53</v>
      </c>
      <c r="Z55" t="s">
        <v>380</v>
      </c>
      <c r="AA55" t="s">
        <v>381</v>
      </c>
      <c r="AB55">
        <v>1</v>
      </c>
      <c r="AC55">
        <v>0</v>
      </c>
      <c r="AD55" t="s">
        <v>602</v>
      </c>
      <c r="AE55">
        <v>7106</v>
      </c>
      <c r="AF55">
        <v>3</v>
      </c>
      <c r="AG55" t="s">
        <v>421</v>
      </c>
    </row>
    <row r="56" spans="1:33" x14ac:dyDescent="0.3">
      <c r="A56" s="1" t="b">
        <f t="shared" si="0"/>
        <v>0</v>
      </c>
      <c r="B56" s="1" t="b">
        <f t="shared" si="0"/>
        <v>0</v>
      </c>
      <c r="C56" s="1" t="b">
        <f t="shared" si="1"/>
        <v>0</v>
      </c>
      <c r="D56" s="1" t="b">
        <f t="shared" si="2"/>
        <v>0</v>
      </c>
      <c r="E56">
        <v>7109</v>
      </c>
      <c r="F56" s="16" t="s">
        <v>696</v>
      </c>
      <c r="G56" t="s">
        <v>603</v>
      </c>
      <c r="H56">
        <f t="shared" si="3"/>
        <v>7108</v>
      </c>
      <c r="J56">
        <f t="shared" si="4"/>
        <v>7108</v>
      </c>
      <c r="L56" t="s">
        <v>976</v>
      </c>
      <c r="M56">
        <v>54</v>
      </c>
      <c r="N56" t="s">
        <v>380</v>
      </c>
      <c r="O56" t="s">
        <v>381</v>
      </c>
      <c r="P56">
        <v>1</v>
      </c>
      <c r="Q56">
        <v>0</v>
      </c>
      <c r="R56" t="s">
        <v>976</v>
      </c>
      <c r="S56">
        <v>7108</v>
      </c>
      <c r="T56">
        <v>3</v>
      </c>
      <c r="U56" t="s">
        <v>421</v>
      </c>
      <c r="V56">
        <f t="shared" si="5"/>
        <v>7108</v>
      </c>
      <c r="X56" t="s">
        <v>976</v>
      </c>
      <c r="Y56">
        <v>54</v>
      </c>
      <c r="Z56" t="s">
        <v>380</v>
      </c>
      <c r="AA56" t="s">
        <v>381</v>
      </c>
      <c r="AB56">
        <v>1</v>
      </c>
      <c r="AC56">
        <v>0</v>
      </c>
      <c r="AD56" t="s">
        <v>976</v>
      </c>
      <c r="AE56">
        <v>7108</v>
      </c>
      <c r="AF56">
        <v>3</v>
      </c>
      <c r="AG56" t="s">
        <v>421</v>
      </c>
    </row>
    <row r="57" spans="1:33" x14ac:dyDescent="0.3">
      <c r="A57" s="1" t="b">
        <f t="shared" si="0"/>
        <v>0</v>
      </c>
      <c r="B57" s="1" t="b">
        <f t="shared" si="0"/>
        <v>0</v>
      </c>
      <c r="C57" s="1" t="b">
        <f t="shared" si="1"/>
        <v>0</v>
      </c>
      <c r="D57" s="1" t="b">
        <f t="shared" si="2"/>
        <v>0</v>
      </c>
      <c r="E57">
        <v>7111</v>
      </c>
      <c r="F57" s="16" t="s">
        <v>697</v>
      </c>
      <c r="G57" t="s">
        <v>604</v>
      </c>
      <c r="H57">
        <f t="shared" si="3"/>
        <v>7110</v>
      </c>
      <c r="J57">
        <f t="shared" si="4"/>
        <v>7110</v>
      </c>
      <c r="L57" t="s">
        <v>977</v>
      </c>
      <c r="M57">
        <v>55</v>
      </c>
      <c r="N57" t="s">
        <v>380</v>
      </c>
      <c r="O57" t="s">
        <v>381</v>
      </c>
      <c r="P57">
        <v>1</v>
      </c>
      <c r="Q57">
        <v>0</v>
      </c>
      <c r="R57" t="s">
        <v>977</v>
      </c>
      <c r="S57">
        <v>7110</v>
      </c>
      <c r="T57">
        <v>3</v>
      </c>
      <c r="U57" t="s">
        <v>421</v>
      </c>
      <c r="V57">
        <f t="shared" si="5"/>
        <v>7110</v>
      </c>
      <c r="X57" t="s">
        <v>977</v>
      </c>
      <c r="Y57">
        <v>55</v>
      </c>
      <c r="Z57" t="s">
        <v>380</v>
      </c>
      <c r="AA57" t="s">
        <v>381</v>
      </c>
      <c r="AB57">
        <v>1</v>
      </c>
      <c r="AC57">
        <v>0</v>
      </c>
      <c r="AD57" t="s">
        <v>977</v>
      </c>
      <c r="AE57">
        <v>7110</v>
      </c>
      <c r="AF57">
        <v>3</v>
      </c>
      <c r="AG57" t="s">
        <v>421</v>
      </c>
    </row>
    <row r="58" spans="1:33" x14ac:dyDescent="0.3">
      <c r="A58" s="1" t="b">
        <f t="shared" si="0"/>
        <v>0</v>
      </c>
      <c r="B58" s="1" t="b">
        <f t="shared" si="0"/>
        <v>0</v>
      </c>
      <c r="C58" s="1" t="b">
        <f t="shared" si="1"/>
        <v>0</v>
      </c>
      <c r="D58" s="1" t="b">
        <f t="shared" si="2"/>
        <v>0</v>
      </c>
      <c r="E58">
        <v>7113</v>
      </c>
      <c r="F58" s="16" t="s">
        <v>698</v>
      </c>
      <c r="G58" t="s">
        <v>605</v>
      </c>
      <c r="H58">
        <f t="shared" si="3"/>
        <v>7112</v>
      </c>
      <c r="J58">
        <f t="shared" si="4"/>
        <v>7112</v>
      </c>
      <c r="L58" t="s">
        <v>978</v>
      </c>
      <c r="M58">
        <v>56</v>
      </c>
      <c r="N58" t="s">
        <v>380</v>
      </c>
      <c r="O58" t="s">
        <v>381</v>
      </c>
      <c r="P58">
        <v>1</v>
      </c>
      <c r="Q58">
        <v>0</v>
      </c>
      <c r="R58" t="s">
        <v>978</v>
      </c>
      <c r="S58">
        <v>7112</v>
      </c>
      <c r="T58">
        <v>3</v>
      </c>
      <c r="U58" t="s">
        <v>421</v>
      </c>
      <c r="V58">
        <f t="shared" si="5"/>
        <v>7112</v>
      </c>
      <c r="X58" t="s">
        <v>978</v>
      </c>
      <c r="Y58">
        <v>56</v>
      </c>
      <c r="Z58" t="s">
        <v>380</v>
      </c>
      <c r="AA58" t="s">
        <v>381</v>
      </c>
      <c r="AB58">
        <v>1</v>
      </c>
      <c r="AC58">
        <v>0</v>
      </c>
      <c r="AD58" t="s">
        <v>978</v>
      </c>
      <c r="AE58">
        <v>7112</v>
      </c>
      <c r="AF58">
        <v>3</v>
      </c>
      <c r="AG58" t="s">
        <v>421</v>
      </c>
    </row>
    <row r="59" spans="1:33" x14ac:dyDescent="0.3">
      <c r="A59" s="1" t="str">
        <f t="shared" si="0"/>
        <v>Im_kWh_RateA</v>
      </c>
      <c r="B59" s="1" t="str">
        <f t="shared" si="0"/>
        <v>Im_kWh_RateA</v>
      </c>
      <c r="C59" s="1" t="str">
        <f t="shared" si="1"/>
        <v>Im_kWh_RateA</v>
      </c>
      <c r="D59" s="1">
        <f t="shared" si="2"/>
        <v>57</v>
      </c>
      <c r="E59">
        <v>7115</v>
      </c>
      <c r="F59" s="16" t="s">
        <v>699</v>
      </c>
      <c r="G59" t="s">
        <v>606</v>
      </c>
      <c r="H59">
        <f t="shared" si="3"/>
        <v>7114</v>
      </c>
      <c r="J59">
        <f t="shared" si="4"/>
        <v>7114</v>
      </c>
      <c r="K59" t="s">
        <v>1018</v>
      </c>
      <c r="L59" s="30" t="s">
        <v>979</v>
      </c>
      <c r="M59" s="30">
        <v>57</v>
      </c>
      <c r="N59" s="30" t="s">
        <v>380</v>
      </c>
      <c r="O59" s="30" t="s">
        <v>381</v>
      </c>
      <c r="P59" s="30">
        <v>1E-3</v>
      </c>
      <c r="Q59" s="30">
        <v>0</v>
      </c>
      <c r="R59" s="30" t="s">
        <v>979</v>
      </c>
      <c r="S59" s="30">
        <v>7114</v>
      </c>
      <c r="T59" s="30">
        <v>3</v>
      </c>
      <c r="U59" s="30" t="s">
        <v>421</v>
      </c>
      <c r="V59">
        <f t="shared" si="5"/>
        <v>7114</v>
      </c>
      <c r="W59" t="s">
        <v>1018</v>
      </c>
      <c r="X59" s="30" t="s">
        <v>979</v>
      </c>
      <c r="Y59" s="30">
        <v>57</v>
      </c>
      <c r="Z59" s="30" t="s">
        <v>380</v>
      </c>
      <c r="AA59" s="30" t="s">
        <v>381</v>
      </c>
      <c r="AB59" s="30">
        <v>1E-3</v>
      </c>
      <c r="AC59" s="30">
        <v>0</v>
      </c>
      <c r="AD59" s="30" t="s">
        <v>979</v>
      </c>
      <c r="AE59" s="30">
        <v>7114</v>
      </c>
      <c r="AF59" s="30">
        <v>3</v>
      </c>
      <c r="AG59" s="30" t="s">
        <v>421</v>
      </c>
    </row>
    <row r="60" spans="1:33" x14ac:dyDescent="0.3">
      <c r="A60" s="1" t="str">
        <f t="shared" si="0"/>
        <v>Im_kWh_RateB</v>
      </c>
      <c r="B60" s="1" t="str">
        <f t="shared" si="0"/>
        <v>Im_kWh_RateB</v>
      </c>
      <c r="C60" s="1" t="str">
        <f t="shared" si="1"/>
        <v>Im_kWh_RateB</v>
      </c>
      <c r="D60" s="1">
        <f t="shared" si="2"/>
        <v>58</v>
      </c>
      <c r="E60">
        <v>7117</v>
      </c>
      <c r="F60" s="16" t="s">
        <v>700</v>
      </c>
      <c r="G60" t="s">
        <v>607</v>
      </c>
      <c r="H60">
        <f t="shared" si="3"/>
        <v>7116</v>
      </c>
      <c r="J60">
        <f t="shared" si="4"/>
        <v>7116</v>
      </c>
      <c r="K60" t="s">
        <v>1018</v>
      </c>
      <c r="L60" s="30" t="s">
        <v>980</v>
      </c>
      <c r="M60" s="30">
        <v>58</v>
      </c>
      <c r="N60" s="30" t="s">
        <v>380</v>
      </c>
      <c r="O60" s="30" t="s">
        <v>381</v>
      </c>
      <c r="P60" s="30">
        <v>1E-3</v>
      </c>
      <c r="Q60" s="30">
        <v>0</v>
      </c>
      <c r="R60" s="30" t="s">
        <v>980</v>
      </c>
      <c r="S60" s="30">
        <v>7116</v>
      </c>
      <c r="T60" s="30">
        <v>3</v>
      </c>
      <c r="U60" s="30" t="s">
        <v>421</v>
      </c>
      <c r="V60">
        <f t="shared" si="5"/>
        <v>7116</v>
      </c>
      <c r="W60" t="s">
        <v>1018</v>
      </c>
      <c r="X60" s="30" t="s">
        <v>980</v>
      </c>
      <c r="Y60" s="30">
        <v>58</v>
      </c>
      <c r="Z60" s="30" t="s">
        <v>380</v>
      </c>
      <c r="AA60" s="30" t="s">
        <v>381</v>
      </c>
      <c r="AB60" s="30">
        <v>1E-3</v>
      </c>
      <c r="AC60" s="30">
        <v>0</v>
      </c>
      <c r="AD60" s="30" t="s">
        <v>980</v>
      </c>
      <c r="AE60" s="30">
        <v>7116</v>
      </c>
      <c r="AF60" s="30">
        <v>3</v>
      </c>
      <c r="AG60" s="30" t="s">
        <v>421</v>
      </c>
    </row>
    <row r="61" spans="1:33" x14ac:dyDescent="0.3">
      <c r="A61" s="1" t="str">
        <f t="shared" si="0"/>
        <v>Im_kWh_RateC</v>
      </c>
      <c r="B61" s="1" t="str">
        <f t="shared" si="0"/>
        <v>Im_kWh_RateC</v>
      </c>
      <c r="C61" s="1" t="str">
        <f t="shared" si="1"/>
        <v>Im_kWh_RateC</v>
      </c>
      <c r="D61" s="1">
        <f t="shared" si="2"/>
        <v>59</v>
      </c>
      <c r="E61">
        <v>7119</v>
      </c>
      <c r="F61" s="16" t="s">
        <v>701</v>
      </c>
      <c r="G61" t="s">
        <v>608</v>
      </c>
      <c r="H61">
        <f t="shared" si="3"/>
        <v>7118</v>
      </c>
      <c r="J61">
        <f t="shared" si="4"/>
        <v>7118</v>
      </c>
      <c r="K61" t="s">
        <v>1018</v>
      </c>
      <c r="L61" s="30" t="s">
        <v>981</v>
      </c>
      <c r="M61" s="30">
        <v>59</v>
      </c>
      <c r="N61" s="30" t="s">
        <v>380</v>
      </c>
      <c r="O61" s="30" t="s">
        <v>381</v>
      </c>
      <c r="P61" s="30">
        <v>1E-3</v>
      </c>
      <c r="Q61" s="30">
        <v>0</v>
      </c>
      <c r="R61" s="30" t="s">
        <v>981</v>
      </c>
      <c r="S61" s="30">
        <v>7118</v>
      </c>
      <c r="T61" s="30">
        <v>3</v>
      </c>
      <c r="U61" s="30" t="s">
        <v>421</v>
      </c>
      <c r="V61">
        <f t="shared" si="5"/>
        <v>7118</v>
      </c>
      <c r="W61" t="s">
        <v>1018</v>
      </c>
      <c r="X61" s="30" t="s">
        <v>981</v>
      </c>
      <c r="Y61" s="30">
        <v>59</v>
      </c>
      <c r="Z61" s="30" t="s">
        <v>380</v>
      </c>
      <c r="AA61" s="30" t="s">
        <v>381</v>
      </c>
      <c r="AB61" s="30">
        <v>1E-3</v>
      </c>
      <c r="AC61" s="30">
        <v>0</v>
      </c>
      <c r="AD61" s="30" t="s">
        <v>981</v>
      </c>
      <c r="AE61" s="30">
        <v>7118</v>
      </c>
      <c r="AF61" s="30">
        <v>3</v>
      </c>
      <c r="AG61" s="30" t="s">
        <v>421</v>
      </c>
    </row>
    <row r="62" spans="1:33" x14ac:dyDescent="0.3">
      <c r="A62" s="1" t="b">
        <f t="shared" si="0"/>
        <v>0</v>
      </c>
      <c r="B62" s="1" t="b">
        <f t="shared" si="0"/>
        <v>0</v>
      </c>
      <c r="C62" s="1" t="b">
        <f t="shared" si="1"/>
        <v>0</v>
      </c>
      <c r="D62" s="1" t="b">
        <f t="shared" si="2"/>
        <v>0</v>
      </c>
      <c r="E62">
        <v>7121</v>
      </c>
      <c r="F62" s="16" t="s">
        <v>702</v>
      </c>
      <c r="G62" t="s">
        <v>609</v>
      </c>
      <c r="H62">
        <f t="shared" si="3"/>
        <v>7120</v>
      </c>
      <c r="J62">
        <f t="shared" si="4"/>
        <v>7120</v>
      </c>
      <c r="L62" t="s">
        <v>982</v>
      </c>
      <c r="M62">
        <v>60</v>
      </c>
      <c r="N62" t="s">
        <v>380</v>
      </c>
      <c r="O62" t="s">
        <v>381</v>
      </c>
      <c r="P62">
        <v>1E-3</v>
      </c>
      <c r="Q62">
        <v>0</v>
      </c>
      <c r="R62" t="s">
        <v>982</v>
      </c>
      <c r="S62">
        <v>7120</v>
      </c>
      <c r="T62">
        <v>3</v>
      </c>
      <c r="U62" t="s">
        <v>421</v>
      </c>
      <c r="V62">
        <f t="shared" si="5"/>
        <v>7120</v>
      </c>
      <c r="X62" t="s">
        <v>982</v>
      </c>
      <c r="Y62">
        <v>60</v>
      </c>
      <c r="Z62" t="s">
        <v>380</v>
      </c>
      <c r="AA62" t="s">
        <v>381</v>
      </c>
      <c r="AB62">
        <v>1E-3</v>
      </c>
      <c r="AC62">
        <v>0</v>
      </c>
      <c r="AD62" t="s">
        <v>982</v>
      </c>
      <c r="AE62">
        <v>7120</v>
      </c>
      <c r="AF62">
        <v>3</v>
      </c>
      <c r="AG62" t="s">
        <v>421</v>
      </c>
    </row>
    <row r="63" spans="1:33" x14ac:dyDescent="0.3">
      <c r="A63" s="1" t="b">
        <f t="shared" si="0"/>
        <v>0</v>
      </c>
      <c r="B63" s="1" t="b">
        <f t="shared" si="0"/>
        <v>0</v>
      </c>
      <c r="C63" s="1" t="b">
        <f t="shared" si="1"/>
        <v>0</v>
      </c>
      <c r="D63" s="1" t="b">
        <f t="shared" si="2"/>
        <v>0</v>
      </c>
      <c r="E63">
        <v>7123</v>
      </c>
      <c r="F63" s="16" t="s">
        <v>703</v>
      </c>
      <c r="G63" t="s">
        <v>610</v>
      </c>
      <c r="H63">
        <f t="shared" si="3"/>
        <v>7122</v>
      </c>
      <c r="J63">
        <f t="shared" si="4"/>
        <v>7122</v>
      </c>
      <c r="L63" t="s">
        <v>983</v>
      </c>
      <c r="M63">
        <v>61</v>
      </c>
      <c r="N63" t="s">
        <v>380</v>
      </c>
      <c r="O63" t="s">
        <v>381</v>
      </c>
      <c r="P63">
        <v>1E-3</v>
      </c>
      <c r="Q63">
        <v>0</v>
      </c>
      <c r="R63" t="s">
        <v>983</v>
      </c>
      <c r="S63">
        <v>7122</v>
      </c>
      <c r="T63">
        <v>3</v>
      </c>
      <c r="U63" t="s">
        <v>421</v>
      </c>
      <c r="V63">
        <f t="shared" si="5"/>
        <v>7122</v>
      </c>
      <c r="X63" t="s">
        <v>983</v>
      </c>
      <c r="Y63">
        <v>61</v>
      </c>
      <c r="Z63" t="s">
        <v>380</v>
      </c>
      <c r="AA63" t="s">
        <v>381</v>
      </c>
      <c r="AB63">
        <v>1E-3</v>
      </c>
      <c r="AC63">
        <v>0</v>
      </c>
      <c r="AD63" t="s">
        <v>983</v>
      </c>
      <c r="AE63">
        <v>7122</v>
      </c>
      <c r="AF63">
        <v>3</v>
      </c>
      <c r="AG63" t="s">
        <v>421</v>
      </c>
    </row>
    <row r="64" spans="1:33" x14ac:dyDescent="0.3">
      <c r="A64" s="1" t="b">
        <f t="shared" si="0"/>
        <v>0</v>
      </c>
      <c r="B64" s="1" t="b">
        <f t="shared" si="0"/>
        <v>0</v>
      </c>
      <c r="C64" s="1" t="b">
        <f t="shared" si="1"/>
        <v>0</v>
      </c>
      <c r="D64" s="1" t="b">
        <f t="shared" si="2"/>
        <v>0</v>
      </c>
      <c r="E64">
        <v>7125</v>
      </c>
      <c r="F64" s="16" t="s">
        <v>704</v>
      </c>
      <c r="G64" t="s">
        <v>611</v>
      </c>
      <c r="H64">
        <f t="shared" si="3"/>
        <v>7124</v>
      </c>
      <c r="J64">
        <f t="shared" si="4"/>
        <v>7124</v>
      </c>
      <c r="L64" t="s">
        <v>984</v>
      </c>
      <c r="M64">
        <v>62</v>
      </c>
      <c r="N64" t="s">
        <v>380</v>
      </c>
      <c r="O64" t="s">
        <v>381</v>
      </c>
      <c r="P64">
        <v>1E-3</v>
      </c>
      <c r="Q64">
        <v>0</v>
      </c>
      <c r="R64" t="s">
        <v>984</v>
      </c>
      <c r="S64">
        <v>7124</v>
      </c>
      <c r="T64">
        <v>3</v>
      </c>
      <c r="U64" t="s">
        <v>421</v>
      </c>
      <c r="V64">
        <f t="shared" si="5"/>
        <v>7124</v>
      </c>
      <c r="X64" t="s">
        <v>984</v>
      </c>
      <c r="Y64">
        <v>62</v>
      </c>
      <c r="Z64" t="s">
        <v>380</v>
      </c>
      <c r="AA64" t="s">
        <v>381</v>
      </c>
      <c r="AB64">
        <v>1E-3</v>
      </c>
      <c r="AC64">
        <v>0</v>
      </c>
      <c r="AD64" t="s">
        <v>984</v>
      </c>
      <c r="AE64">
        <v>7124</v>
      </c>
      <c r="AF64">
        <v>3</v>
      </c>
      <c r="AG64" t="s">
        <v>421</v>
      </c>
    </row>
    <row r="65" spans="1:33" x14ac:dyDescent="0.3">
      <c r="A65" s="1" t="str">
        <f t="shared" si="0"/>
        <v>Im_Total_kVArh</v>
      </c>
      <c r="B65" s="1" t="str">
        <f t="shared" si="0"/>
        <v>Im_Total_kVArh</v>
      </c>
      <c r="C65" s="1" t="str">
        <f t="shared" si="1"/>
        <v>Im_Total_kVArh</v>
      </c>
      <c r="D65" s="1">
        <f t="shared" si="2"/>
        <v>63</v>
      </c>
      <c r="E65">
        <v>7127</v>
      </c>
      <c r="F65" s="16" t="s">
        <v>705</v>
      </c>
      <c r="G65" t="s">
        <v>612</v>
      </c>
      <c r="H65">
        <f t="shared" si="3"/>
        <v>7126</v>
      </c>
      <c r="J65">
        <f t="shared" si="4"/>
        <v>7126</v>
      </c>
      <c r="K65" t="s">
        <v>1018</v>
      </c>
      <c r="L65" s="30" t="s">
        <v>985</v>
      </c>
      <c r="M65" s="30">
        <v>63</v>
      </c>
      <c r="N65" s="30" t="s">
        <v>380</v>
      </c>
      <c r="O65" s="30" t="s">
        <v>381</v>
      </c>
      <c r="P65" s="30">
        <v>1E-3</v>
      </c>
      <c r="Q65" s="30">
        <v>0</v>
      </c>
      <c r="R65" s="30" t="s">
        <v>985</v>
      </c>
      <c r="S65" s="30">
        <v>7126</v>
      </c>
      <c r="T65" s="30">
        <v>3</v>
      </c>
      <c r="U65" s="30" t="s">
        <v>421</v>
      </c>
      <c r="V65">
        <f t="shared" si="5"/>
        <v>7126</v>
      </c>
      <c r="W65" t="s">
        <v>1018</v>
      </c>
      <c r="X65" s="30" t="s">
        <v>985</v>
      </c>
      <c r="Y65" s="30">
        <v>63</v>
      </c>
      <c r="Z65" s="30" t="s">
        <v>380</v>
      </c>
      <c r="AA65" s="30" t="s">
        <v>381</v>
      </c>
      <c r="AB65" s="30">
        <v>1E-3</v>
      </c>
      <c r="AC65" s="30">
        <v>0</v>
      </c>
      <c r="AD65" s="30" t="s">
        <v>985</v>
      </c>
      <c r="AE65" s="30">
        <v>7126</v>
      </c>
      <c r="AF65" s="30">
        <v>3</v>
      </c>
      <c r="AG65" s="30" t="s">
        <v>421</v>
      </c>
    </row>
    <row r="66" spans="1:33" x14ac:dyDescent="0.3">
      <c r="A66" s="1" t="b">
        <f t="shared" si="0"/>
        <v>0</v>
      </c>
      <c r="B66" s="1" t="b">
        <f t="shared" si="0"/>
        <v>0</v>
      </c>
      <c r="C66" s="1" t="b">
        <f t="shared" si="1"/>
        <v>0</v>
      </c>
      <c r="D66" s="1" t="b">
        <f t="shared" si="2"/>
        <v>0</v>
      </c>
      <c r="E66">
        <v>7129</v>
      </c>
      <c r="F66" s="16" t="s">
        <v>706</v>
      </c>
      <c r="G66" t="s">
        <v>613</v>
      </c>
      <c r="H66">
        <f t="shared" si="3"/>
        <v>7128</v>
      </c>
      <c r="J66">
        <f t="shared" si="4"/>
        <v>7128</v>
      </c>
      <c r="L66" t="s">
        <v>986</v>
      </c>
      <c r="M66">
        <v>64</v>
      </c>
      <c r="N66" t="s">
        <v>380</v>
      </c>
      <c r="O66" t="s">
        <v>381</v>
      </c>
      <c r="P66">
        <v>1E-3</v>
      </c>
      <c r="Q66">
        <v>0</v>
      </c>
      <c r="R66" t="s">
        <v>986</v>
      </c>
      <c r="S66">
        <v>7128</v>
      </c>
      <c r="T66">
        <v>3</v>
      </c>
      <c r="U66" t="s">
        <v>421</v>
      </c>
      <c r="V66">
        <f t="shared" si="5"/>
        <v>7128</v>
      </c>
      <c r="X66" t="s">
        <v>986</v>
      </c>
      <c r="Y66">
        <v>64</v>
      </c>
      <c r="Z66" t="s">
        <v>380</v>
      </c>
      <c r="AA66" t="s">
        <v>381</v>
      </c>
      <c r="AB66">
        <v>1E-3</v>
      </c>
      <c r="AC66">
        <v>0</v>
      </c>
      <c r="AD66" t="s">
        <v>986</v>
      </c>
      <c r="AE66">
        <v>7128</v>
      </c>
      <c r="AF66">
        <v>3</v>
      </c>
      <c r="AG66" t="s">
        <v>421</v>
      </c>
    </row>
    <row r="67" spans="1:33" x14ac:dyDescent="0.3">
      <c r="A67" s="1" t="b">
        <f t="shared" ref="A67:B97" si="6">IF(VLOOKUP($H67,$V$2:$AG$93,2,0)="Used",VLOOKUP($H67,$V$2:$AG$93,3,0))</f>
        <v>0</v>
      </c>
      <c r="B67" s="1" t="b">
        <f t="shared" si="6"/>
        <v>0</v>
      </c>
      <c r="C67" s="1" t="b">
        <f t="shared" ref="C67:C97" si="7">IF(VLOOKUP($H67,$V$2:$AG$93,2,0)="Used",VLOOKUP($H67,$V$2:$AG$93,3,0))</f>
        <v>0</v>
      </c>
      <c r="D67" s="1" t="b">
        <f t="shared" ref="D67:D97" si="8">IF(VLOOKUP($H67,$V$2:$AG$93,2,0)="Used",VLOOKUP($H67,$V$2:$AG$93,4,0))</f>
        <v>0</v>
      </c>
      <c r="E67">
        <v>7131</v>
      </c>
      <c r="F67" s="16" t="s">
        <v>707</v>
      </c>
      <c r="G67" t="s">
        <v>614</v>
      </c>
      <c r="H67">
        <f t="shared" ref="H67:H97" si="9">E67-1</f>
        <v>7130</v>
      </c>
      <c r="J67">
        <f t="shared" ref="J67:J93" si="10">S67</f>
        <v>7130</v>
      </c>
      <c r="L67" t="s">
        <v>987</v>
      </c>
      <c r="M67">
        <v>65</v>
      </c>
      <c r="N67" t="s">
        <v>380</v>
      </c>
      <c r="O67" t="s">
        <v>381</v>
      </c>
      <c r="P67">
        <v>1E-3</v>
      </c>
      <c r="Q67">
        <v>0</v>
      </c>
      <c r="R67" t="s">
        <v>987</v>
      </c>
      <c r="S67">
        <v>7130</v>
      </c>
      <c r="T67">
        <v>3</v>
      </c>
      <c r="U67" t="s">
        <v>421</v>
      </c>
      <c r="V67">
        <f t="shared" ref="V67:V93" si="11">AE67</f>
        <v>7130</v>
      </c>
      <c r="X67" t="s">
        <v>987</v>
      </c>
      <c r="Y67">
        <v>65</v>
      </c>
      <c r="Z67" t="s">
        <v>380</v>
      </c>
      <c r="AA67" t="s">
        <v>381</v>
      </c>
      <c r="AB67">
        <v>1E-3</v>
      </c>
      <c r="AC67">
        <v>0</v>
      </c>
      <c r="AD67" t="s">
        <v>987</v>
      </c>
      <c r="AE67">
        <v>7130</v>
      </c>
      <c r="AF67">
        <v>3</v>
      </c>
      <c r="AG67" t="s">
        <v>421</v>
      </c>
    </row>
    <row r="68" spans="1:33" x14ac:dyDescent="0.3">
      <c r="A68" s="1" t="b">
        <f t="shared" si="6"/>
        <v>0</v>
      </c>
      <c r="B68" s="1" t="b">
        <f t="shared" si="6"/>
        <v>0</v>
      </c>
      <c r="C68" s="1" t="b">
        <f t="shared" si="7"/>
        <v>0</v>
      </c>
      <c r="D68" s="1" t="b">
        <f t="shared" si="8"/>
        <v>0</v>
      </c>
      <c r="E68">
        <v>7133</v>
      </c>
      <c r="F68" s="16" t="s">
        <v>708</v>
      </c>
      <c r="G68" t="s">
        <v>615</v>
      </c>
      <c r="H68">
        <f t="shared" si="9"/>
        <v>7132</v>
      </c>
      <c r="J68">
        <f t="shared" si="10"/>
        <v>7132</v>
      </c>
      <c r="L68" t="s">
        <v>988</v>
      </c>
      <c r="M68">
        <v>66</v>
      </c>
      <c r="N68" t="s">
        <v>380</v>
      </c>
      <c r="O68" t="s">
        <v>381</v>
      </c>
      <c r="P68">
        <v>1E-3</v>
      </c>
      <c r="Q68">
        <v>0</v>
      </c>
      <c r="R68" t="s">
        <v>988</v>
      </c>
      <c r="S68">
        <v>7132</v>
      </c>
      <c r="T68">
        <v>3</v>
      </c>
      <c r="U68" t="s">
        <v>421</v>
      </c>
      <c r="V68">
        <f t="shared" si="11"/>
        <v>7132</v>
      </c>
      <c r="X68" t="s">
        <v>988</v>
      </c>
      <c r="Y68">
        <v>66</v>
      </c>
      <c r="Z68" t="s">
        <v>380</v>
      </c>
      <c r="AA68" t="s">
        <v>381</v>
      </c>
      <c r="AB68">
        <v>1E-3</v>
      </c>
      <c r="AC68">
        <v>0</v>
      </c>
      <c r="AD68" t="s">
        <v>988</v>
      </c>
      <c r="AE68">
        <v>7132</v>
      </c>
      <c r="AF68">
        <v>3</v>
      </c>
      <c r="AG68" t="s">
        <v>421</v>
      </c>
    </row>
    <row r="69" spans="1:33" x14ac:dyDescent="0.3">
      <c r="A69" s="1" t="b">
        <f t="shared" si="6"/>
        <v>0</v>
      </c>
      <c r="B69" s="1" t="b">
        <f t="shared" si="6"/>
        <v>0</v>
      </c>
      <c r="C69" s="1" t="b">
        <f t="shared" si="7"/>
        <v>0</v>
      </c>
      <c r="D69" s="1" t="b">
        <f t="shared" si="8"/>
        <v>0</v>
      </c>
      <c r="E69">
        <v>7135</v>
      </c>
      <c r="F69" s="16" t="s">
        <v>709</v>
      </c>
      <c r="G69" t="s">
        <v>616</v>
      </c>
      <c r="H69">
        <f t="shared" si="9"/>
        <v>7134</v>
      </c>
      <c r="J69">
        <f t="shared" si="10"/>
        <v>7134</v>
      </c>
      <c r="L69" t="s">
        <v>989</v>
      </c>
      <c r="M69">
        <v>67</v>
      </c>
      <c r="N69" t="s">
        <v>380</v>
      </c>
      <c r="O69" t="s">
        <v>381</v>
      </c>
      <c r="P69">
        <v>1E-3</v>
      </c>
      <c r="Q69">
        <v>0</v>
      </c>
      <c r="R69" t="s">
        <v>989</v>
      </c>
      <c r="S69">
        <v>7134</v>
      </c>
      <c r="T69">
        <v>3</v>
      </c>
      <c r="U69" t="s">
        <v>421</v>
      </c>
      <c r="V69">
        <f t="shared" si="11"/>
        <v>7134</v>
      </c>
      <c r="X69" t="s">
        <v>989</v>
      </c>
      <c r="Y69">
        <v>67</v>
      </c>
      <c r="Z69" t="s">
        <v>380</v>
      </c>
      <c r="AA69" t="s">
        <v>381</v>
      </c>
      <c r="AB69">
        <v>1E-3</v>
      </c>
      <c r="AC69">
        <v>0</v>
      </c>
      <c r="AD69" t="s">
        <v>989</v>
      </c>
      <c r="AE69">
        <v>7134</v>
      </c>
      <c r="AF69">
        <v>3</v>
      </c>
      <c r="AG69" t="s">
        <v>421</v>
      </c>
    </row>
    <row r="70" spans="1:33" x14ac:dyDescent="0.3">
      <c r="A70" s="1" t="b">
        <f t="shared" si="6"/>
        <v>0</v>
      </c>
      <c r="B70" s="1" t="b">
        <f t="shared" si="6"/>
        <v>0</v>
      </c>
      <c r="C70" s="1" t="b">
        <f t="shared" si="7"/>
        <v>0</v>
      </c>
      <c r="D70" s="1" t="b">
        <f t="shared" si="8"/>
        <v>0</v>
      </c>
      <c r="E70">
        <v>7137</v>
      </c>
      <c r="F70" s="16" t="s">
        <v>710</v>
      </c>
      <c r="G70" t="s">
        <v>617</v>
      </c>
      <c r="H70">
        <f t="shared" si="9"/>
        <v>7136</v>
      </c>
      <c r="J70">
        <f t="shared" si="10"/>
        <v>7136</v>
      </c>
      <c r="L70" t="s">
        <v>990</v>
      </c>
      <c r="M70">
        <v>68</v>
      </c>
      <c r="N70" t="s">
        <v>380</v>
      </c>
      <c r="O70" t="s">
        <v>381</v>
      </c>
      <c r="P70">
        <v>1E-3</v>
      </c>
      <c r="Q70">
        <v>0</v>
      </c>
      <c r="R70" t="s">
        <v>990</v>
      </c>
      <c r="S70">
        <v>7136</v>
      </c>
      <c r="T70">
        <v>3</v>
      </c>
      <c r="U70" t="s">
        <v>421</v>
      </c>
      <c r="V70">
        <f t="shared" si="11"/>
        <v>7136</v>
      </c>
      <c r="X70" t="s">
        <v>990</v>
      </c>
      <c r="Y70">
        <v>68</v>
      </c>
      <c r="Z70" t="s">
        <v>380</v>
      </c>
      <c r="AA70" t="s">
        <v>381</v>
      </c>
      <c r="AB70">
        <v>1E-3</v>
      </c>
      <c r="AC70">
        <v>0</v>
      </c>
      <c r="AD70" t="s">
        <v>990</v>
      </c>
      <c r="AE70">
        <v>7136</v>
      </c>
      <c r="AF70">
        <v>3</v>
      </c>
      <c r="AG70" t="s">
        <v>421</v>
      </c>
    </row>
    <row r="71" spans="1:33" x14ac:dyDescent="0.3">
      <c r="A71" s="1" t="b">
        <f t="shared" si="6"/>
        <v>0</v>
      </c>
      <c r="B71" s="1" t="b">
        <f t="shared" si="6"/>
        <v>0</v>
      </c>
      <c r="C71" s="1" t="b">
        <f t="shared" si="7"/>
        <v>0</v>
      </c>
      <c r="D71" s="1" t="b">
        <f t="shared" si="8"/>
        <v>0</v>
      </c>
      <c r="E71">
        <v>7139</v>
      </c>
      <c r="F71" s="16" t="s">
        <v>711</v>
      </c>
      <c r="G71" t="s">
        <v>618</v>
      </c>
      <c r="H71">
        <f t="shared" si="9"/>
        <v>7138</v>
      </c>
      <c r="J71">
        <f t="shared" si="10"/>
        <v>7138</v>
      </c>
      <c r="L71" t="s">
        <v>991</v>
      </c>
      <c r="M71">
        <v>69</v>
      </c>
      <c r="N71" t="s">
        <v>380</v>
      </c>
      <c r="O71" t="s">
        <v>381</v>
      </c>
      <c r="P71">
        <v>1E-3</v>
      </c>
      <c r="Q71">
        <v>0</v>
      </c>
      <c r="R71" t="s">
        <v>991</v>
      </c>
      <c r="S71">
        <v>7138</v>
      </c>
      <c r="T71">
        <v>3</v>
      </c>
      <c r="U71" t="s">
        <v>421</v>
      </c>
      <c r="V71">
        <f t="shared" si="11"/>
        <v>7138</v>
      </c>
      <c r="X71" t="s">
        <v>991</v>
      </c>
      <c r="Y71">
        <v>69</v>
      </c>
      <c r="Z71" t="s">
        <v>380</v>
      </c>
      <c r="AA71" t="s">
        <v>381</v>
      </c>
      <c r="AB71">
        <v>1E-3</v>
      </c>
      <c r="AC71">
        <v>0</v>
      </c>
      <c r="AD71" t="s">
        <v>991</v>
      </c>
      <c r="AE71">
        <v>7138</v>
      </c>
      <c r="AF71">
        <v>3</v>
      </c>
      <c r="AG71" t="s">
        <v>421</v>
      </c>
    </row>
    <row r="72" spans="1:33" x14ac:dyDescent="0.3">
      <c r="A72" s="1" t="b">
        <f t="shared" si="6"/>
        <v>0</v>
      </c>
      <c r="B72" s="1" t="b">
        <f t="shared" si="6"/>
        <v>0</v>
      </c>
      <c r="C72" s="1" t="b">
        <f t="shared" si="7"/>
        <v>0</v>
      </c>
      <c r="D72" s="1" t="b">
        <f t="shared" si="8"/>
        <v>0</v>
      </c>
      <c r="E72">
        <v>7141</v>
      </c>
      <c r="F72" s="16" t="s">
        <v>712</v>
      </c>
      <c r="G72" t="s">
        <v>619</v>
      </c>
      <c r="H72">
        <f t="shared" si="9"/>
        <v>7140</v>
      </c>
      <c r="J72">
        <f t="shared" si="10"/>
        <v>7140</v>
      </c>
      <c r="L72" t="s">
        <v>992</v>
      </c>
      <c r="M72">
        <v>70</v>
      </c>
      <c r="N72" t="s">
        <v>380</v>
      </c>
      <c r="O72" t="s">
        <v>381</v>
      </c>
      <c r="P72">
        <v>1E-3</v>
      </c>
      <c r="Q72">
        <v>0</v>
      </c>
      <c r="R72" t="s">
        <v>992</v>
      </c>
      <c r="S72">
        <v>7140</v>
      </c>
      <c r="T72">
        <v>3</v>
      </c>
      <c r="U72" t="s">
        <v>421</v>
      </c>
      <c r="V72">
        <f t="shared" si="11"/>
        <v>7140</v>
      </c>
      <c r="X72" t="s">
        <v>992</v>
      </c>
      <c r="Y72">
        <v>70</v>
      </c>
      <c r="Z72" t="s">
        <v>380</v>
      </c>
      <c r="AA72" t="s">
        <v>381</v>
      </c>
      <c r="AB72">
        <v>1E-3</v>
      </c>
      <c r="AC72">
        <v>0</v>
      </c>
      <c r="AD72" t="s">
        <v>992</v>
      </c>
      <c r="AE72">
        <v>7140</v>
      </c>
      <c r="AF72">
        <v>3</v>
      </c>
      <c r="AG72" t="s">
        <v>421</v>
      </c>
    </row>
    <row r="73" spans="1:33" x14ac:dyDescent="0.3">
      <c r="A73" s="1" t="b">
        <f t="shared" si="6"/>
        <v>0</v>
      </c>
      <c r="B73" s="1" t="b">
        <f t="shared" si="6"/>
        <v>0</v>
      </c>
      <c r="C73" s="1" t="b">
        <f t="shared" si="7"/>
        <v>0</v>
      </c>
      <c r="D73" s="1" t="b">
        <f t="shared" si="8"/>
        <v>0</v>
      </c>
      <c r="E73">
        <v>7143</v>
      </c>
      <c r="F73" s="16" t="s">
        <v>713</v>
      </c>
      <c r="G73" t="s">
        <v>620</v>
      </c>
      <c r="H73">
        <f t="shared" si="9"/>
        <v>7142</v>
      </c>
      <c r="J73">
        <f t="shared" si="10"/>
        <v>7142</v>
      </c>
      <c r="L73" t="s">
        <v>993</v>
      </c>
      <c r="M73">
        <v>71</v>
      </c>
      <c r="N73" t="s">
        <v>380</v>
      </c>
      <c r="O73" t="s">
        <v>381</v>
      </c>
      <c r="P73">
        <v>1E-3</v>
      </c>
      <c r="Q73">
        <v>0</v>
      </c>
      <c r="R73" t="s">
        <v>993</v>
      </c>
      <c r="S73">
        <v>7142</v>
      </c>
      <c r="T73">
        <v>3</v>
      </c>
      <c r="U73" t="s">
        <v>421</v>
      </c>
      <c r="V73">
        <f t="shared" si="11"/>
        <v>7142</v>
      </c>
      <c r="X73" t="s">
        <v>993</v>
      </c>
      <c r="Y73">
        <v>71</v>
      </c>
      <c r="Z73" t="s">
        <v>380</v>
      </c>
      <c r="AA73" t="s">
        <v>381</v>
      </c>
      <c r="AB73">
        <v>1E-3</v>
      </c>
      <c r="AC73">
        <v>0</v>
      </c>
      <c r="AD73" t="s">
        <v>993</v>
      </c>
      <c r="AE73">
        <v>7142</v>
      </c>
      <c r="AF73">
        <v>3</v>
      </c>
      <c r="AG73" t="s">
        <v>421</v>
      </c>
    </row>
    <row r="74" spans="1:33" x14ac:dyDescent="0.3">
      <c r="A74" s="1" t="b">
        <f t="shared" si="6"/>
        <v>0</v>
      </c>
      <c r="B74" s="1" t="b">
        <f t="shared" si="6"/>
        <v>0</v>
      </c>
      <c r="C74" s="1" t="b">
        <f t="shared" si="7"/>
        <v>0</v>
      </c>
      <c r="D74" s="1" t="b">
        <f t="shared" si="8"/>
        <v>0</v>
      </c>
      <c r="E74">
        <v>7145</v>
      </c>
      <c r="F74" s="16" t="s">
        <v>714</v>
      </c>
      <c r="G74" t="s">
        <v>621</v>
      </c>
      <c r="H74">
        <f t="shared" si="9"/>
        <v>7144</v>
      </c>
      <c r="J74">
        <f t="shared" si="10"/>
        <v>7144</v>
      </c>
      <c r="L74" t="s">
        <v>994</v>
      </c>
      <c r="M74">
        <v>72</v>
      </c>
      <c r="N74" t="s">
        <v>380</v>
      </c>
      <c r="O74" t="s">
        <v>381</v>
      </c>
      <c r="P74">
        <v>1E-3</v>
      </c>
      <c r="Q74">
        <v>0</v>
      </c>
      <c r="R74" t="s">
        <v>994</v>
      </c>
      <c r="S74">
        <v>7144</v>
      </c>
      <c r="T74">
        <v>3</v>
      </c>
      <c r="U74" t="s">
        <v>421</v>
      </c>
      <c r="V74">
        <f t="shared" si="11"/>
        <v>7144</v>
      </c>
      <c r="X74" t="s">
        <v>994</v>
      </c>
      <c r="Y74">
        <v>72</v>
      </c>
      <c r="Z74" t="s">
        <v>380</v>
      </c>
      <c r="AA74" t="s">
        <v>381</v>
      </c>
      <c r="AB74">
        <v>1E-3</v>
      </c>
      <c r="AC74">
        <v>0</v>
      </c>
      <c r="AD74" t="s">
        <v>994</v>
      </c>
      <c r="AE74">
        <v>7144</v>
      </c>
      <c r="AF74">
        <v>3</v>
      </c>
      <c r="AG74" t="s">
        <v>421</v>
      </c>
    </row>
    <row r="75" spans="1:33" x14ac:dyDescent="0.3">
      <c r="A75" s="1" t="b">
        <f t="shared" si="6"/>
        <v>0</v>
      </c>
      <c r="B75" s="1" t="b">
        <f t="shared" si="6"/>
        <v>0</v>
      </c>
      <c r="C75" s="1" t="b">
        <f t="shared" si="7"/>
        <v>0</v>
      </c>
      <c r="D75" s="1" t="b">
        <f t="shared" si="8"/>
        <v>0</v>
      </c>
      <c r="E75">
        <v>7147</v>
      </c>
      <c r="F75" s="16" t="s">
        <v>715</v>
      </c>
      <c r="G75" t="s">
        <v>622</v>
      </c>
      <c r="H75">
        <f t="shared" si="9"/>
        <v>7146</v>
      </c>
      <c r="J75">
        <f t="shared" si="10"/>
        <v>7146</v>
      </c>
      <c r="L75" t="s">
        <v>995</v>
      </c>
      <c r="M75">
        <v>73</v>
      </c>
      <c r="N75" t="s">
        <v>380</v>
      </c>
      <c r="O75" t="s">
        <v>381</v>
      </c>
      <c r="P75">
        <v>1E-3</v>
      </c>
      <c r="Q75">
        <v>0</v>
      </c>
      <c r="R75" t="s">
        <v>995</v>
      </c>
      <c r="S75">
        <v>7146</v>
      </c>
      <c r="T75">
        <v>3</v>
      </c>
      <c r="U75" t="s">
        <v>421</v>
      </c>
      <c r="V75">
        <f t="shared" si="11"/>
        <v>7146</v>
      </c>
      <c r="X75" t="s">
        <v>995</v>
      </c>
      <c r="Y75">
        <v>73</v>
      </c>
      <c r="Z75" t="s">
        <v>380</v>
      </c>
      <c r="AA75" t="s">
        <v>381</v>
      </c>
      <c r="AB75">
        <v>1E-3</v>
      </c>
      <c r="AC75">
        <v>0</v>
      </c>
      <c r="AD75" t="s">
        <v>995</v>
      </c>
      <c r="AE75">
        <v>7146</v>
      </c>
      <c r="AF75">
        <v>3</v>
      </c>
      <c r="AG75" t="s">
        <v>421</v>
      </c>
    </row>
    <row r="76" spans="1:33" x14ac:dyDescent="0.3">
      <c r="A76" s="1" t="b">
        <f t="shared" si="6"/>
        <v>0</v>
      </c>
      <c r="B76" s="1" t="b">
        <f t="shared" si="6"/>
        <v>0</v>
      </c>
      <c r="C76" s="1" t="b">
        <f t="shared" si="7"/>
        <v>0</v>
      </c>
      <c r="D76" s="1" t="b">
        <f t="shared" si="8"/>
        <v>0</v>
      </c>
      <c r="E76">
        <v>7149</v>
      </c>
      <c r="F76" s="16" t="s">
        <v>716</v>
      </c>
      <c r="G76" t="s">
        <v>623</v>
      </c>
      <c r="H76">
        <f t="shared" si="9"/>
        <v>7148</v>
      </c>
      <c r="J76">
        <f t="shared" si="10"/>
        <v>7148</v>
      </c>
      <c r="L76" t="s">
        <v>996</v>
      </c>
      <c r="M76">
        <v>74</v>
      </c>
      <c r="N76" t="s">
        <v>380</v>
      </c>
      <c r="O76" t="s">
        <v>381</v>
      </c>
      <c r="P76">
        <v>1E-3</v>
      </c>
      <c r="Q76">
        <v>0</v>
      </c>
      <c r="R76" t="s">
        <v>996</v>
      </c>
      <c r="S76">
        <v>7148</v>
      </c>
      <c r="T76">
        <v>3</v>
      </c>
      <c r="U76" t="s">
        <v>421</v>
      </c>
      <c r="V76">
        <f t="shared" si="11"/>
        <v>7148</v>
      </c>
      <c r="X76" t="s">
        <v>996</v>
      </c>
      <c r="Y76">
        <v>74</v>
      </c>
      <c r="Z76" t="s">
        <v>380</v>
      </c>
      <c r="AA76" t="s">
        <v>381</v>
      </c>
      <c r="AB76">
        <v>1E-3</v>
      </c>
      <c r="AC76">
        <v>0</v>
      </c>
      <c r="AD76" t="s">
        <v>996</v>
      </c>
      <c r="AE76">
        <v>7148</v>
      </c>
      <c r="AF76">
        <v>3</v>
      </c>
      <c r="AG76" t="s">
        <v>421</v>
      </c>
    </row>
    <row r="77" spans="1:33" x14ac:dyDescent="0.3">
      <c r="A77" s="1" t="b">
        <f t="shared" si="6"/>
        <v>0</v>
      </c>
      <c r="B77" s="1" t="b">
        <f t="shared" si="6"/>
        <v>0</v>
      </c>
      <c r="C77" s="1" t="b">
        <f t="shared" si="7"/>
        <v>0</v>
      </c>
      <c r="D77" s="1" t="b">
        <f t="shared" si="8"/>
        <v>0</v>
      </c>
      <c r="E77">
        <v>7151</v>
      </c>
      <c r="F77" s="16" t="s">
        <v>717</v>
      </c>
      <c r="G77" t="s">
        <v>624</v>
      </c>
      <c r="H77">
        <f t="shared" si="9"/>
        <v>7150</v>
      </c>
      <c r="J77">
        <f t="shared" si="10"/>
        <v>7150</v>
      </c>
      <c r="L77" t="s">
        <v>997</v>
      </c>
      <c r="M77">
        <v>75</v>
      </c>
      <c r="N77" t="s">
        <v>380</v>
      </c>
      <c r="O77" t="s">
        <v>381</v>
      </c>
      <c r="P77">
        <v>1E-3</v>
      </c>
      <c r="Q77">
        <v>0</v>
      </c>
      <c r="R77" t="s">
        <v>997</v>
      </c>
      <c r="S77">
        <v>7150</v>
      </c>
      <c r="T77">
        <v>3</v>
      </c>
      <c r="U77" t="s">
        <v>421</v>
      </c>
      <c r="V77">
        <f t="shared" si="11"/>
        <v>7150</v>
      </c>
      <c r="X77" t="s">
        <v>997</v>
      </c>
      <c r="Y77">
        <v>75</v>
      </c>
      <c r="Z77" t="s">
        <v>380</v>
      </c>
      <c r="AA77" t="s">
        <v>381</v>
      </c>
      <c r="AB77">
        <v>1E-3</v>
      </c>
      <c r="AC77">
        <v>0</v>
      </c>
      <c r="AD77" t="s">
        <v>997</v>
      </c>
      <c r="AE77">
        <v>7150</v>
      </c>
      <c r="AF77">
        <v>3</v>
      </c>
      <c r="AG77" t="s">
        <v>421</v>
      </c>
    </row>
    <row r="78" spans="1:33" x14ac:dyDescent="0.3">
      <c r="A78" s="1" t="b">
        <f t="shared" si="6"/>
        <v>0</v>
      </c>
      <c r="B78" s="1" t="b">
        <f t="shared" si="6"/>
        <v>0</v>
      </c>
      <c r="C78" s="1" t="b">
        <f t="shared" si="7"/>
        <v>0</v>
      </c>
      <c r="D78" s="1" t="b">
        <f t="shared" si="8"/>
        <v>0</v>
      </c>
      <c r="E78">
        <v>7153</v>
      </c>
      <c r="F78" s="16" t="s">
        <v>718</v>
      </c>
      <c r="G78" t="s">
        <v>625</v>
      </c>
      <c r="H78">
        <f t="shared" si="9"/>
        <v>7152</v>
      </c>
      <c r="J78">
        <f t="shared" si="10"/>
        <v>7152</v>
      </c>
      <c r="L78" t="s">
        <v>998</v>
      </c>
      <c r="M78">
        <v>76</v>
      </c>
      <c r="N78" t="s">
        <v>380</v>
      </c>
      <c r="O78" t="s">
        <v>381</v>
      </c>
      <c r="P78">
        <v>1E-3</v>
      </c>
      <c r="Q78">
        <v>0</v>
      </c>
      <c r="R78" t="s">
        <v>998</v>
      </c>
      <c r="S78">
        <v>7152</v>
      </c>
      <c r="T78">
        <v>3</v>
      </c>
      <c r="U78" t="s">
        <v>421</v>
      </c>
      <c r="V78">
        <f t="shared" si="11"/>
        <v>7152</v>
      </c>
      <c r="X78" t="s">
        <v>998</v>
      </c>
      <c r="Y78">
        <v>76</v>
      </c>
      <c r="Z78" t="s">
        <v>380</v>
      </c>
      <c r="AA78" t="s">
        <v>381</v>
      </c>
      <c r="AB78">
        <v>1E-3</v>
      </c>
      <c r="AC78">
        <v>0</v>
      </c>
      <c r="AD78" t="s">
        <v>998</v>
      </c>
      <c r="AE78">
        <v>7152</v>
      </c>
      <c r="AF78">
        <v>3</v>
      </c>
      <c r="AG78" t="s">
        <v>421</v>
      </c>
    </row>
    <row r="79" spans="1:33" x14ac:dyDescent="0.3">
      <c r="A79" s="1" t="b">
        <f t="shared" si="6"/>
        <v>0</v>
      </c>
      <c r="B79" s="1" t="b">
        <f t="shared" si="6"/>
        <v>0</v>
      </c>
      <c r="C79" s="1" t="b">
        <f t="shared" si="7"/>
        <v>0</v>
      </c>
      <c r="D79" s="1" t="b">
        <f t="shared" si="8"/>
        <v>0</v>
      </c>
      <c r="E79">
        <v>7155</v>
      </c>
      <c r="F79" s="16" t="s">
        <v>719</v>
      </c>
      <c r="G79" t="s">
        <v>626</v>
      </c>
      <c r="H79">
        <f t="shared" si="9"/>
        <v>7154</v>
      </c>
      <c r="J79">
        <f t="shared" si="10"/>
        <v>7154</v>
      </c>
      <c r="L79" t="s">
        <v>999</v>
      </c>
      <c r="M79">
        <v>77</v>
      </c>
      <c r="N79" t="s">
        <v>380</v>
      </c>
      <c r="O79" t="s">
        <v>381</v>
      </c>
      <c r="P79">
        <v>1E-3</v>
      </c>
      <c r="Q79">
        <v>0</v>
      </c>
      <c r="R79" t="s">
        <v>999</v>
      </c>
      <c r="S79">
        <v>7154</v>
      </c>
      <c r="T79">
        <v>3</v>
      </c>
      <c r="U79" t="s">
        <v>421</v>
      </c>
      <c r="V79">
        <f t="shared" si="11"/>
        <v>7154</v>
      </c>
      <c r="X79" t="s">
        <v>999</v>
      </c>
      <c r="Y79">
        <v>77</v>
      </c>
      <c r="Z79" t="s">
        <v>380</v>
      </c>
      <c r="AA79" t="s">
        <v>381</v>
      </c>
      <c r="AB79">
        <v>1E-3</v>
      </c>
      <c r="AC79">
        <v>0</v>
      </c>
      <c r="AD79" t="s">
        <v>999</v>
      </c>
      <c r="AE79">
        <v>7154</v>
      </c>
      <c r="AF79">
        <v>3</v>
      </c>
      <c r="AG79" t="s">
        <v>421</v>
      </c>
    </row>
    <row r="80" spans="1:33" x14ac:dyDescent="0.3">
      <c r="A80" s="1" t="b">
        <f t="shared" si="6"/>
        <v>0</v>
      </c>
      <c r="B80" s="1" t="b">
        <f t="shared" si="6"/>
        <v>0</v>
      </c>
      <c r="C80" s="1" t="b">
        <f t="shared" si="7"/>
        <v>0</v>
      </c>
      <c r="D80" s="1" t="b">
        <f t="shared" si="8"/>
        <v>0</v>
      </c>
      <c r="E80">
        <v>7157</v>
      </c>
      <c r="F80" s="16" t="s">
        <v>720</v>
      </c>
      <c r="G80" t="s">
        <v>627</v>
      </c>
      <c r="H80">
        <f t="shared" si="9"/>
        <v>7156</v>
      </c>
      <c r="J80">
        <f t="shared" si="10"/>
        <v>7156</v>
      </c>
      <c r="L80" t="s">
        <v>1000</v>
      </c>
      <c r="M80">
        <v>78</v>
      </c>
      <c r="N80" t="s">
        <v>380</v>
      </c>
      <c r="O80" t="s">
        <v>381</v>
      </c>
      <c r="P80">
        <v>1E-3</v>
      </c>
      <c r="Q80">
        <v>0</v>
      </c>
      <c r="R80" t="s">
        <v>1000</v>
      </c>
      <c r="S80">
        <v>7156</v>
      </c>
      <c r="T80">
        <v>3</v>
      </c>
      <c r="U80" t="s">
        <v>421</v>
      </c>
      <c r="V80">
        <f t="shared" si="11"/>
        <v>7156</v>
      </c>
      <c r="X80" t="s">
        <v>1000</v>
      </c>
      <c r="Y80">
        <v>78</v>
      </c>
      <c r="Z80" t="s">
        <v>380</v>
      </c>
      <c r="AA80" t="s">
        <v>381</v>
      </c>
      <c r="AB80">
        <v>1E-3</v>
      </c>
      <c r="AC80">
        <v>0</v>
      </c>
      <c r="AD80" t="s">
        <v>1000</v>
      </c>
      <c r="AE80">
        <v>7156</v>
      </c>
      <c r="AF80">
        <v>3</v>
      </c>
      <c r="AG80" t="s">
        <v>421</v>
      </c>
    </row>
    <row r="81" spans="1:33" x14ac:dyDescent="0.3">
      <c r="A81" s="1" t="b">
        <f t="shared" si="6"/>
        <v>0</v>
      </c>
      <c r="B81" s="1" t="b">
        <f t="shared" si="6"/>
        <v>0</v>
      </c>
      <c r="C81" s="1" t="b">
        <f t="shared" si="7"/>
        <v>0</v>
      </c>
      <c r="D81" s="1" t="b">
        <f t="shared" si="8"/>
        <v>0</v>
      </c>
      <c r="E81">
        <v>7159</v>
      </c>
      <c r="F81" s="16" t="s">
        <v>721</v>
      </c>
      <c r="G81" t="s">
        <v>628</v>
      </c>
      <c r="H81">
        <f t="shared" si="9"/>
        <v>7158</v>
      </c>
      <c r="J81">
        <f t="shared" si="10"/>
        <v>7158</v>
      </c>
      <c r="L81" t="s">
        <v>1001</v>
      </c>
      <c r="M81">
        <v>79</v>
      </c>
      <c r="N81" t="s">
        <v>380</v>
      </c>
      <c r="O81" t="s">
        <v>381</v>
      </c>
      <c r="P81">
        <v>1E-3</v>
      </c>
      <c r="Q81">
        <v>0</v>
      </c>
      <c r="R81" t="s">
        <v>1001</v>
      </c>
      <c r="S81">
        <v>7158</v>
      </c>
      <c r="T81">
        <v>3</v>
      </c>
      <c r="U81" t="s">
        <v>421</v>
      </c>
      <c r="V81">
        <f t="shared" si="11"/>
        <v>7158</v>
      </c>
      <c r="X81" t="s">
        <v>1001</v>
      </c>
      <c r="Y81">
        <v>79</v>
      </c>
      <c r="Z81" t="s">
        <v>380</v>
      </c>
      <c r="AA81" t="s">
        <v>381</v>
      </c>
      <c r="AB81">
        <v>1E-3</v>
      </c>
      <c r="AC81">
        <v>0</v>
      </c>
      <c r="AD81" t="s">
        <v>1001</v>
      </c>
      <c r="AE81">
        <v>7158</v>
      </c>
      <c r="AF81">
        <v>3</v>
      </c>
      <c r="AG81" t="s">
        <v>421</v>
      </c>
    </row>
    <row r="82" spans="1:33" x14ac:dyDescent="0.3">
      <c r="A82" s="1" t="b">
        <f t="shared" si="6"/>
        <v>0</v>
      </c>
      <c r="B82" s="1" t="b">
        <f t="shared" si="6"/>
        <v>0</v>
      </c>
      <c r="C82" s="1" t="b">
        <f t="shared" si="7"/>
        <v>0</v>
      </c>
      <c r="D82" s="1" t="b">
        <f t="shared" si="8"/>
        <v>0</v>
      </c>
      <c r="E82">
        <v>7161</v>
      </c>
      <c r="F82" s="16" t="s">
        <v>722</v>
      </c>
      <c r="G82" t="s">
        <v>629</v>
      </c>
      <c r="H82">
        <f t="shared" si="9"/>
        <v>7160</v>
      </c>
      <c r="J82">
        <f t="shared" si="10"/>
        <v>7160</v>
      </c>
      <c r="L82" t="s">
        <v>1002</v>
      </c>
      <c r="M82">
        <v>80</v>
      </c>
      <c r="N82" t="s">
        <v>380</v>
      </c>
      <c r="O82" t="s">
        <v>381</v>
      </c>
      <c r="P82">
        <v>1E-3</v>
      </c>
      <c r="Q82">
        <v>0</v>
      </c>
      <c r="R82" t="s">
        <v>1002</v>
      </c>
      <c r="S82">
        <v>7160</v>
      </c>
      <c r="T82">
        <v>3</v>
      </c>
      <c r="U82" t="s">
        <v>421</v>
      </c>
      <c r="V82">
        <f t="shared" si="11"/>
        <v>7160</v>
      </c>
      <c r="X82" t="s">
        <v>1002</v>
      </c>
      <c r="Y82">
        <v>80</v>
      </c>
      <c r="Z82" t="s">
        <v>380</v>
      </c>
      <c r="AA82" t="s">
        <v>381</v>
      </c>
      <c r="AB82">
        <v>1E-3</v>
      </c>
      <c r="AC82">
        <v>0</v>
      </c>
      <c r="AD82" t="s">
        <v>1002</v>
      </c>
      <c r="AE82">
        <v>7160</v>
      </c>
      <c r="AF82">
        <v>3</v>
      </c>
      <c r="AG82" t="s">
        <v>421</v>
      </c>
    </row>
    <row r="83" spans="1:33" x14ac:dyDescent="0.3">
      <c r="A83" s="1" t="b">
        <f t="shared" si="6"/>
        <v>0</v>
      </c>
      <c r="B83" s="1" t="b">
        <f t="shared" si="6"/>
        <v>0</v>
      </c>
      <c r="C83" s="1" t="b">
        <f t="shared" si="7"/>
        <v>0</v>
      </c>
      <c r="D83" s="1" t="b">
        <f t="shared" si="8"/>
        <v>0</v>
      </c>
      <c r="E83">
        <v>7163</v>
      </c>
      <c r="F83" s="16" t="s">
        <v>723</v>
      </c>
      <c r="G83" t="s">
        <v>630</v>
      </c>
      <c r="H83">
        <f t="shared" si="9"/>
        <v>7162</v>
      </c>
      <c r="J83">
        <f t="shared" si="10"/>
        <v>7162</v>
      </c>
      <c r="L83" t="s">
        <v>1003</v>
      </c>
      <c r="M83">
        <v>81</v>
      </c>
      <c r="N83" t="s">
        <v>380</v>
      </c>
      <c r="O83" t="s">
        <v>381</v>
      </c>
      <c r="P83">
        <v>1E-3</v>
      </c>
      <c r="Q83">
        <v>0</v>
      </c>
      <c r="R83" t="s">
        <v>1003</v>
      </c>
      <c r="S83">
        <v>7162</v>
      </c>
      <c r="T83">
        <v>3</v>
      </c>
      <c r="U83" t="s">
        <v>421</v>
      </c>
      <c r="V83">
        <f t="shared" si="11"/>
        <v>7162</v>
      </c>
      <c r="X83" t="s">
        <v>1003</v>
      </c>
      <c r="Y83">
        <v>81</v>
      </c>
      <c r="Z83" t="s">
        <v>380</v>
      </c>
      <c r="AA83" t="s">
        <v>381</v>
      </c>
      <c r="AB83">
        <v>1E-3</v>
      </c>
      <c r="AC83">
        <v>0</v>
      </c>
      <c r="AD83" t="s">
        <v>1003</v>
      </c>
      <c r="AE83">
        <v>7162</v>
      </c>
      <c r="AF83">
        <v>3</v>
      </c>
      <c r="AG83" t="s">
        <v>421</v>
      </c>
    </row>
    <row r="84" spans="1:33" x14ac:dyDescent="0.3">
      <c r="A84" s="1" t="b">
        <f t="shared" si="6"/>
        <v>0</v>
      </c>
      <c r="B84" s="1" t="b">
        <f t="shared" si="6"/>
        <v>0</v>
      </c>
      <c r="C84" s="1" t="b">
        <f t="shared" si="7"/>
        <v>0</v>
      </c>
      <c r="D84" s="1" t="b">
        <f t="shared" si="8"/>
        <v>0</v>
      </c>
      <c r="E84">
        <v>7165</v>
      </c>
      <c r="F84" s="16" t="s">
        <v>724</v>
      </c>
      <c r="G84" t="s">
        <v>631</v>
      </c>
      <c r="H84">
        <f t="shared" si="9"/>
        <v>7164</v>
      </c>
      <c r="J84">
        <f t="shared" si="10"/>
        <v>7164</v>
      </c>
      <c r="L84" t="s">
        <v>1004</v>
      </c>
      <c r="M84">
        <v>82</v>
      </c>
      <c r="N84" t="s">
        <v>380</v>
      </c>
      <c r="O84" t="s">
        <v>381</v>
      </c>
      <c r="P84">
        <v>1E-3</v>
      </c>
      <c r="Q84">
        <v>0</v>
      </c>
      <c r="R84" t="s">
        <v>1004</v>
      </c>
      <c r="S84">
        <v>7164</v>
      </c>
      <c r="T84">
        <v>3</v>
      </c>
      <c r="U84" t="s">
        <v>421</v>
      </c>
      <c r="V84">
        <f t="shared" si="11"/>
        <v>7164</v>
      </c>
      <c r="X84" t="s">
        <v>1004</v>
      </c>
      <c r="Y84">
        <v>82</v>
      </c>
      <c r="Z84" t="s">
        <v>380</v>
      </c>
      <c r="AA84" t="s">
        <v>381</v>
      </c>
      <c r="AB84">
        <v>1E-3</v>
      </c>
      <c r="AC84">
        <v>0</v>
      </c>
      <c r="AD84" t="s">
        <v>1004</v>
      </c>
      <c r="AE84">
        <v>7164</v>
      </c>
      <c r="AF84">
        <v>3</v>
      </c>
      <c r="AG84" t="s">
        <v>421</v>
      </c>
    </row>
    <row r="85" spans="1:33" x14ac:dyDescent="0.3">
      <c r="A85" s="1" t="b">
        <f t="shared" si="6"/>
        <v>0</v>
      </c>
      <c r="B85" s="1" t="b">
        <f t="shared" si="6"/>
        <v>0</v>
      </c>
      <c r="C85" s="1" t="b">
        <f t="shared" si="7"/>
        <v>0</v>
      </c>
      <c r="D85" s="1" t="b">
        <f t="shared" si="8"/>
        <v>0</v>
      </c>
      <c r="E85">
        <v>7167</v>
      </c>
      <c r="F85" s="16" t="s">
        <v>675</v>
      </c>
      <c r="G85" t="s">
        <v>921</v>
      </c>
      <c r="H85">
        <f t="shared" si="9"/>
        <v>7166</v>
      </c>
      <c r="J85">
        <f t="shared" si="10"/>
        <v>7166</v>
      </c>
      <c r="L85" t="s">
        <v>1005</v>
      </c>
      <c r="M85">
        <v>83</v>
      </c>
      <c r="N85" t="s">
        <v>380</v>
      </c>
      <c r="O85" t="s">
        <v>381</v>
      </c>
      <c r="P85">
        <v>1E-3</v>
      </c>
      <c r="Q85">
        <v>0</v>
      </c>
      <c r="R85" t="s">
        <v>1005</v>
      </c>
      <c r="S85">
        <v>7166</v>
      </c>
      <c r="T85">
        <v>3</v>
      </c>
      <c r="U85" t="s">
        <v>421</v>
      </c>
      <c r="V85">
        <f t="shared" si="11"/>
        <v>7166</v>
      </c>
      <c r="X85" t="s">
        <v>1005</v>
      </c>
      <c r="Y85">
        <v>83</v>
      </c>
      <c r="Z85" t="s">
        <v>380</v>
      </c>
      <c r="AA85" t="s">
        <v>381</v>
      </c>
      <c r="AB85">
        <v>1E-3</v>
      </c>
      <c r="AC85">
        <v>0</v>
      </c>
      <c r="AD85" t="s">
        <v>1005</v>
      </c>
      <c r="AE85">
        <v>7166</v>
      </c>
      <c r="AF85">
        <v>3</v>
      </c>
      <c r="AG85" t="s">
        <v>421</v>
      </c>
    </row>
    <row r="86" spans="1:33" x14ac:dyDescent="0.3">
      <c r="A86" s="1" t="b">
        <f t="shared" si="6"/>
        <v>0</v>
      </c>
      <c r="B86" s="1" t="b">
        <f t="shared" si="6"/>
        <v>0</v>
      </c>
      <c r="C86" s="1" t="b">
        <f t="shared" si="7"/>
        <v>0</v>
      </c>
      <c r="D86" s="1" t="b">
        <f t="shared" si="8"/>
        <v>0</v>
      </c>
      <c r="E86">
        <v>7169</v>
      </c>
      <c r="F86" s="16" t="s">
        <v>726</v>
      </c>
      <c r="G86" t="s">
        <v>633</v>
      </c>
      <c r="H86">
        <f t="shared" si="9"/>
        <v>7168</v>
      </c>
      <c r="J86">
        <f t="shared" si="10"/>
        <v>7168</v>
      </c>
      <c r="L86" t="s">
        <v>1006</v>
      </c>
      <c r="M86">
        <v>84</v>
      </c>
      <c r="N86" t="s">
        <v>380</v>
      </c>
      <c r="O86" t="s">
        <v>381</v>
      </c>
      <c r="P86">
        <v>1E-3</v>
      </c>
      <c r="Q86">
        <v>0</v>
      </c>
      <c r="R86" t="s">
        <v>1006</v>
      </c>
      <c r="S86">
        <v>7168</v>
      </c>
      <c r="T86">
        <v>3</v>
      </c>
      <c r="U86" t="s">
        <v>421</v>
      </c>
      <c r="V86">
        <f t="shared" si="11"/>
        <v>7168</v>
      </c>
      <c r="X86" t="s">
        <v>1006</v>
      </c>
      <c r="Y86">
        <v>84</v>
      </c>
      <c r="Z86" t="s">
        <v>380</v>
      </c>
      <c r="AA86" t="s">
        <v>381</v>
      </c>
      <c r="AB86">
        <v>1E-3</v>
      </c>
      <c r="AC86">
        <v>0</v>
      </c>
      <c r="AD86" t="s">
        <v>1006</v>
      </c>
      <c r="AE86">
        <v>7168</v>
      </c>
      <c r="AF86">
        <v>3</v>
      </c>
      <c r="AG86" t="s">
        <v>421</v>
      </c>
    </row>
    <row r="87" spans="1:33" x14ac:dyDescent="0.3">
      <c r="A87" s="1" t="b">
        <f t="shared" si="6"/>
        <v>0</v>
      </c>
      <c r="B87" s="1" t="b">
        <f t="shared" si="6"/>
        <v>0</v>
      </c>
      <c r="C87" s="1" t="b">
        <f t="shared" si="7"/>
        <v>0</v>
      </c>
      <c r="D87" s="1" t="b">
        <f t="shared" si="8"/>
        <v>0</v>
      </c>
      <c r="E87">
        <v>7171</v>
      </c>
      <c r="F87" s="16" t="s">
        <v>705</v>
      </c>
      <c r="G87" t="s">
        <v>634</v>
      </c>
      <c r="H87">
        <f t="shared" si="9"/>
        <v>7170</v>
      </c>
      <c r="J87">
        <f t="shared" si="10"/>
        <v>7170</v>
      </c>
      <c r="L87" t="s">
        <v>1007</v>
      </c>
      <c r="M87">
        <v>85</v>
      </c>
      <c r="N87" t="s">
        <v>380</v>
      </c>
      <c r="O87" t="s">
        <v>381</v>
      </c>
      <c r="P87">
        <v>1E-3</v>
      </c>
      <c r="Q87">
        <v>0</v>
      </c>
      <c r="R87" t="s">
        <v>1007</v>
      </c>
      <c r="S87">
        <v>7170</v>
      </c>
      <c r="T87">
        <v>3</v>
      </c>
      <c r="U87" t="s">
        <v>421</v>
      </c>
      <c r="V87">
        <f t="shared" si="11"/>
        <v>7170</v>
      </c>
      <c r="X87" t="s">
        <v>1007</v>
      </c>
      <c r="Y87">
        <v>85</v>
      </c>
      <c r="Z87" t="s">
        <v>380</v>
      </c>
      <c r="AA87" t="s">
        <v>381</v>
      </c>
      <c r="AB87">
        <v>1E-3</v>
      </c>
      <c r="AC87">
        <v>0</v>
      </c>
      <c r="AD87" t="s">
        <v>1007</v>
      </c>
      <c r="AE87">
        <v>7170</v>
      </c>
      <c r="AF87">
        <v>3</v>
      </c>
      <c r="AG87" t="s">
        <v>421</v>
      </c>
    </row>
    <row r="88" spans="1:33" x14ac:dyDescent="0.3">
      <c r="A88" s="1" t="e">
        <f t="shared" si="6"/>
        <v>#N/A</v>
      </c>
      <c r="B88" s="1" t="e">
        <f t="shared" si="6"/>
        <v>#N/A</v>
      </c>
      <c r="C88" s="1" t="e">
        <f t="shared" si="7"/>
        <v>#N/A</v>
      </c>
      <c r="D88" s="1" t="e">
        <f t="shared" si="8"/>
        <v>#N/A</v>
      </c>
      <c r="E88">
        <v>7173</v>
      </c>
      <c r="F88" s="16" t="s">
        <v>727</v>
      </c>
      <c r="G88" t="s">
        <v>635</v>
      </c>
      <c r="H88">
        <f t="shared" si="9"/>
        <v>7172</v>
      </c>
      <c r="J88">
        <f t="shared" si="10"/>
        <v>7052</v>
      </c>
      <c r="K88" t="s">
        <v>1018</v>
      </c>
      <c r="L88" s="30" t="s">
        <v>1008</v>
      </c>
      <c r="M88" s="30">
        <v>86</v>
      </c>
      <c r="N88" s="30" t="s">
        <v>380</v>
      </c>
      <c r="O88" s="30" t="s">
        <v>381</v>
      </c>
      <c r="P88" s="30">
        <v>1E-3</v>
      </c>
      <c r="Q88" s="30">
        <v>0</v>
      </c>
      <c r="R88" s="30" t="s">
        <v>1008</v>
      </c>
      <c r="S88" s="30">
        <v>7052</v>
      </c>
      <c r="T88" s="30">
        <v>3</v>
      </c>
      <c r="U88" s="30" t="s">
        <v>421</v>
      </c>
      <c r="V88">
        <f t="shared" si="11"/>
        <v>7052</v>
      </c>
      <c r="W88" t="s">
        <v>1018</v>
      </c>
      <c r="X88" s="30" t="s">
        <v>1008</v>
      </c>
      <c r="Y88" s="30">
        <v>86</v>
      </c>
      <c r="Z88" s="30" t="s">
        <v>380</v>
      </c>
      <c r="AA88" s="30" t="s">
        <v>381</v>
      </c>
      <c r="AB88" s="30">
        <v>1E-3</v>
      </c>
      <c r="AC88" s="30">
        <v>0</v>
      </c>
      <c r="AD88" s="30" t="s">
        <v>1008</v>
      </c>
      <c r="AE88" s="30">
        <v>7052</v>
      </c>
      <c r="AF88" s="30">
        <v>3</v>
      </c>
      <c r="AG88" s="30" t="s">
        <v>421</v>
      </c>
    </row>
    <row r="89" spans="1:33" x14ac:dyDescent="0.3">
      <c r="A89" s="31" t="str">
        <f t="shared" si="6"/>
        <v>Peak Reactive Power</v>
      </c>
      <c r="B89" s="1" t="str">
        <f t="shared" si="6"/>
        <v>Peak Reactive Power</v>
      </c>
      <c r="C89" s="1" t="str">
        <f t="shared" si="7"/>
        <v>Peak Reactive Power</v>
      </c>
      <c r="D89" s="1">
        <f t="shared" si="8"/>
        <v>89</v>
      </c>
      <c r="E89">
        <v>7175</v>
      </c>
      <c r="F89" s="16" t="s">
        <v>728</v>
      </c>
      <c r="G89" t="s">
        <v>636</v>
      </c>
      <c r="H89">
        <f t="shared" si="9"/>
        <v>7174</v>
      </c>
      <c r="J89">
        <f t="shared" si="10"/>
        <v>7054</v>
      </c>
      <c r="K89" t="s">
        <v>1018</v>
      </c>
      <c r="L89" s="30" t="s">
        <v>1009</v>
      </c>
      <c r="M89" s="30">
        <v>87</v>
      </c>
      <c r="N89" s="30" t="s">
        <v>380</v>
      </c>
      <c r="O89" s="30" t="s">
        <v>381</v>
      </c>
      <c r="P89" s="30">
        <v>1E-3</v>
      </c>
      <c r="Q89" s="30">
        <v>0</v>
      </c>
      <c r="R89" s="30" t="s">
        <v>1009</v>
      </c>
      <c r="S89" s="30">
        <v>7054</v>
      </c>
      <c r="T89" s="30">
        <v>3</v>
      </c>
      <c r="U89" s="30" t="s">
        <v>421</v>
      </c>
      <c r="V89">
        <f t="shared" si="11"/>
        <v>7054</v>
      </c>
      <c r="W89" t="s">
        <v>1018</v>
      </c>
      <c r="X89" s="30" t="s">
        <v>1009</v>
      </c>
      <c r="Y89" s="30">
        <v>87</v>
      </c>
      <c r="Z89" s="30" t="s">
        <v>380</v>
      </c>
      <c r="AA89" s="30" t="s">
        <v>381</v>
      </c>
      <c r="AB89" s="30">
        <v>1E-3</v>
      </c>
      <c r="AC89" s="30">
        <v>0</v>
      </c>
      <c r="AD89" s="30" t="s">
        <v>1009</v>
      </c>
      <c r="AE89" s="30">
        <v>7054</v>
      </c>
      <c r="AF89" s="30">
        <v>3</v>
      </c>
      <c r="AG89" s="30" t="s">
        <v>421</v>
      </c>
    </row>
    <row r="90" spans="1:33" x14ac:dyDescent="0.3">
      <c r="A90" s="1" t="e">
        <f t="shared" si="6"/>
        <v>#N/A</v>
      </c>
      <c r="B90" s="1" t="e">
        <f t="shared" si="6"/>
        <v>#N/A</v>
      </c>
      <c r="C90" s="1" t="e">
        <f t="shared" si="7"/>
        <v>#N/A</v>
      </c>
      <c r="D90" s="1" t="e">
        <f t="shared" si="8"/>
        <v>#N/A</v>
      </c>
      <c r="E90">
        <v>7177</v>
      </c>
      <c r="F90" s="16" t="s">
        <v>729</v>
      </c>
      <c r="G90" t="s">
        <v>922</v>
      </c>
      <c r="H90">
        <f t="shared" si="9"/>
        <v>7176</v>
      </c>
      <c r="J90">
        <f t="shared" si="10"/>
        <v>7056</v>
      </c>
      <c r="K90" t="s">
        <v>1018</v>
      </c>
      <c r="L90" s="30" t="s">
        <v>1010</v>
      </c>
      <c r="M90" s="30">
        <v>88</v>
      </c>
      <c r="N90" s="30" t="s">
        <v>380</v>
      </c>
      <c r="O90" s="30" t="s">
        <v>381</v>
      </c>
      <c r="P90" s="30">
        <v>1E-3</v>
      </c>
      <c r="Q90" s="30">
        <v>0</v>
      </c>
      <c r="R90" s="30" t="s">
        <v>1010</v>
      </c>
      <c r="S90" s="30">
        <v>7056</v>
      </c>
      <c r="T90" s="30">
        <v>3</v>
      </c>
      <c r="U90" s="30" t="s">
        <v>421</v>
      </c>
      <c r="V90">
        <f t="shared" si="11"/>
        <v>7056</v>
      </c>
      <c r="W90" t="s">
        <v>1018</v>
      </c>
      <c r="X90" s="30" t="s">
        <v>1010</v>
      </c>
      <c r="Y90" s="30">
        <v>88</v>
      </c>
      <c r="Z90" s="30" t="s">
        <v>380</v>
      </c>
      <c r="AA90" s="30" t="s">
        <v>381</v>
      </c>
      <c r="AB90" s="30">
        <v>1E-3</v>
      </c>
      <c r="AC90" s="30">
        <v>0</v>
      </c>
      <c r="AD90" s="30" t="s">
        <v>1010</v>
      </c>
      <c r="AE90" s="30">
        <v>7056</v>
      </c>
      <c r="AF90" s="30">
        <v>3</v>
      </c>
      <c r="AG90" s="30" t="s">
        <v>421</v>
      </c>
    </row>
    <row r="91" spans="1:33" x14ac:dyDescent="0.3">
      <c r="A91" s="1" t="str">
        <f t="shared" si="6"/>
        <v>Ex_Total_kVAr</v>
      </c>
      <c r="B91" s="1" t="str">
        <f t="shared" si="6"/>
        <v>Ex_Total_kVAr</v>
      </c>
      <c r="C91" s="1" t="str">
        <f t="shared" si="7"/>
        <v>Ex_Total_kVAr</v>
      </c>
      <c r="D91" s="1">
        <f t="shared" si="8"/>
        <v>90</v>
      </c>
      <c r="E91">
        <v>7181</v>
      </c>
      <c r="F91" s="16" t="s">
        <v>730</v>
      </c>
      <c r="G91" t="s">
        <v>638</v>
      </c>
      <c r="H91">
        <f t="shared" si="9"/>
        <v>7180</v>
      </c>
      <c r="J91">
        <f t="shared" si="10"/>
        <v>7174</v>
      </c>
      <c r="K91" t="s">
        <v>1018</v>
      </c>
      <c r="L91" s="30" t="s">
        <v>1011</v>
      </c>
      <c r="M91" s="30">
        <v>89</v>
      </c>
      <c r="N91" s="30" t="s">
        <v>380</v>
      </c>
      <c r="O91" s="30" t="s">
        <v>381</v>
      </c>
      <c r="P91" s="30">
        <v>1E-3</v>
      </c>
      <c r="Q91" s="30">
        <v>0</v>
      </c>
      <c r="R91" s="30" t="s">
        <v>1011</v>
      </c>
      <c r="S91" s="30">
        <v>7174</v>
      </c>
      <c r="T91" s="30">
        <v>3</v>
      </c>
      <c r="U91" s="30" t="s">
        <v>421</v>
      </c>
      <c r="V91">
        <f t="shared" si="11"/>
        <v>7174</v>
      </c>
      <c r="W91" t="s">
        <v>1018</v>
      </c>
      <c r="X91" s="30" t="s">
        <v>1011</v>
      </c>
      <c r="Y91" s="30">
        <v>89</v>
      </c>
      <c r="Z91" s="30" t="s">
        <v>380</v>
      </c>
      <c r="AA91" s="30" t="s">
        <v>381</v>
      </c>
      <c r="AB91" s="30">
        <v>1E-3</v>
      </c>
      <c r="AC91" s="30">
        <v>0</v>
      </c>
      <c r="AD91" s="30" t="s">
        <v>1011</v>
      </c>
      <c r="AE91" s="30">
        <v>7174</v>
      </c>
      <c r="AF91" s="30">
        <v>3</v>
      </c>
      <c r="AG91" s="30" t="s">
        <v>421</v>
      </c>
    </row>
    <row r="92" spans="1:33" x14ac:dyDescent="0.3">
      <c r="A92" s="1" t="str">
        <f t="shared" si="6"/>
        <v>No_of_Reset</v>
      </c>
      <c r="B92" s="1" t="str">
        <f t="shared" si="6"/>
        <v>No_of_Reset</v>
      </c>
      <c r="C92" s="1" t="str">
        <f t="shared" si="7"/>
        <v>No_of_Reset</v>
      </c>
      <c r="D92" s="1">
        <f t="shared" si="8"/>
        <v>91</v>
      </c>
      <c r="E92">
        <v>7183</v>
      </c>
      <c r="F92" s="16" t="s">
        <v>639</v>
      </c>
      <c r="G92" t="s">
        <v>640</v>
      </c>
      <c r="H92">
        <f t="shared" si="9"/>
        <v>7182</v>
      </c>
      <c r="J92">
        <f t="shared" si="10"/>
        <v>7180</v>
      </c>
      <c r="K92" t="s">
        <v>1018</v>
      </c>
      <c r="L92" s="30" t="s">
        <v>1012</v>
      </c>
      <c r="M92" s="30">
        <v>90</v>
      </c>
      <c r="N92" s="30" t="s">
        <v>380</v>
      </c>
      <c r="O92" s="30" t="s">
        <v>381</v>
      </c>
      <c r="P92" s="30">
        <v>1E-3</v>
      </c>
      <c r="Q92" s="30">
        <v>0</v>
      </c>
      <c r="R92" s="30" t="s">
        <v>1012</v>
      </c>
      <c r="S92" s="30">
        <v>7180</v>
      </c>
      <c r="T92" s="30">
        <v>3</v>
      </c>
      <c r="U92" s="30" t="s">
        <v>421</v>
      </c>
      <c r="V92">
        <f t="shared" si="11"/>
        <v>7180</v>
      </c>
      <c r="W92" t="s">
        <v>1018</v>
      </c>
      <c r="X92" s="30" t="s">
        <v>1012</v>
      </c>
      <c r="Y92" s="30">
        <v>90</v>
      </c>
      <c r="Z92" s="30" t="s">
        <v>380</v>
      </c>
      <c r="AA92" s="30" t="s">
        <v>381</v>
      </c>
      <c r="AB92" s="30">
        <v>1E-3</v>
      </c>
      <c r="AC92" s="30">
        <v>0</v>
      </c>
      <c r="AD92" s="30" t="s">
        <v>1012</v>
      </c>
      <c r="AE92" s="30">
        <v>7180</v>
      </c>
      <c r="AF92" s="30">
        <v>3</v>
      </c>
      <c r="AG92" s="30" t="s">
        <v>421</v>
      </c>
    </row>
    <row r="93" spans="1:33" x14ac:dyDescent="0.3">
      <c r="A93" s="1" t="e">
        <f t="shared" si="6"/>
        <v>#N/A</v>
      </c>
      <c r="B93" s="1" t="e">
        <f t="shared" si="6"/>
        <v>#N/A</v>
      </c>
      <c r="C93" s="1" t="e">
        <f t="shared" si="7"/>
        <v>#N/A</v>
      </c>
      <c r="D93" s="1" t="e">
        <f t="shared" si="8"/>
        <v>#N/A</v>
      </c>
      <c r="E93">
        <v>7185</v>
      </c>
      <c r="F93" s="16" t="s">
        <v>731</v>
      </c>
      <c r="G93" t="s">
        <v>641</v>
      </c>
      <c r="H93">
        <f t="shared" si="9"/>
        <v>7184</v>
      </c>
      <c r="J93">
        <f t="shared" si="10"/>
        <v>7182</v>
      </c>
      <c r="K93" t="s">
        <v>1018</v>
      </c>
      <c r="L93" s="30" t="s">
        <v>1013</v>
      </c>
      <c r="M93" s="30">
        <v>91</v>
      </c>
      <c r="N93" s="30" t="s">
        <v>380</v>
      </c>
      <c r="O93" s="30" t="s">
        <v>381</v>
      </c>
      <c r="P93" s="30">
        <v>1</v>
      </c>
      <c r="Q93" s="30">
        <v>0</v>
      </c>
      <c r="R93" s="30" t="s">
        <v>1013</v>
      </c>
      <c r="S93" s="30">
        <v>7182</v>
      </c>
      <c r="T93" s="30">
        <v>3</v>
      </c>
      <c r="U93" s="30" t="s">
        <v>395</v>
      </c>
      <c r="V93">
        <f t="shared" si="11"/>
        <v>7182</v>
      </c>
      <c r="W93" t="s">
        <v>1018</v>
      </c>
      <c r="X93" s="30" t="s">
        <v>1013</v>
      </c>
      <c r="Y93" s="30">
        <v>91</v>
      </c>
      <c r="Z93" s="30" t="s">
        <v>380</v>
      </c>
      <c r="AA93" s="30" t="s">
        <v>381</v>
      </c>
      <c r="AB93" s="30">
        <v>1</v>
      </c>
      <c r="AC93" s="30">
        <v>0</v>
      </c>
      <c r="AD93" s="30" t="s">
        <v>1013</v>
      </c>
      <c r="AE93" s="30">
        <v>7182</v>
      </c>
      <c r="AF93" s="30">
        <v>3</v>
      </c>
      <c r="AG93" s="30" t="s">
        <v>395</v>
      </c>
    </row>
    <row r="94" spans="1:33" x14ac:dyDescent="0.3">
      <c r="A94" s="1" t="e">
        <f t="shared" si="6"/>
        <v>#N/A</v>
      </c>
      <c r="B94" s="1" t="e">
        <f t="shared" si="6"/>
        <v>#N/A</v>
      </c>
      <c r="C94" s="1" t="e">
        <f t="shared" si="7"/>
        <v>#N/A</v>
      </c>
      <c r="D94" s="1" t="e">
        <f t="shared" si="8"/>
        <v>#N/A</v>
      </c>
      <c r="E94">
        <v>7189</v>
      </c>
      <c r="F94" s="16" t="s">
        <v>732</v>
      </c>
      <c r="G94" t="s">
        <v>642</v>
      </c>
      <c r="H94">
        <f t="shared" si="9"/>
        <v>7188</v>
      </c>
    </row>
    <row r="95" spans="1:33" x14ac:dyDescent="0.3">
      <c r="A95" s="1" t="e">
        <f t="shared" si="6"/>
        <v>#N/A</v>
      </c>
      <c r="B95" s="1" t="e">
        <f t="shared" si="6"/>
        <v>#N/A</v>
      </c>
      <c r="C95" s="1" t="e">
        <f t="shared" si="7"/>
        <v>#N/A</v>
      </c>
      <c r="D95" s="1" t="e">
        <f t="shared" si="8"/>
        <v>#N/A</v>
      </c>
      <c r="E95">
        <v>7193</v>
      </c>
      <c r="F95" s="16" t="s">
        <v>733</v>
      </c>
      <c r="G95" t="s">
        <v>643</v>
      </c>
      <c r="H95">
        <f t="shared" si="9"/>
        <v>7192</v>
      </c>
    </row>
    <row r="96" spans="1:33" x14ac:dyDescent="0.3">
      <c r="A96" s="1" t="e">
        <f t="shared" si="6"/>
        <v>#N/A</v>
      </c>
      <c r="B96" s="1" t="e">
        <f t="shared" si="6"/>
        <v>#N/A</v>
      </c>
      <c r="C96" s="1" t="e">
        <f t="shared" si="7"/>
        <v>#N/A</v>
      </c>
      <c r="D96" s="1" t="e">
        <f t="shared" si="8"/>
        <v>#N/A</v>
      </c>
      <c r="E96">
        <v>7197</v>
      </c>
      <c r="F96" s="16" t="s">
        <v>644</v>
      </c>
      <c r="G96" t="s">
        <v>645</v>
      </c>
      <c r="H96">
        <f t="shared" si="9"/>
        <v>7196</v>
      </c>
    </row>
    <row r="97" spans="1:8" x14ac:dyDescent="0.3">
      <c r="A97" s="1" t="e">
        <f t="shared" si="6"/>
        <v>#N/A</v>
      </c>
      <c r="B97" s="1" t="e">
        <f t="shared" si="6"/>
        <v>#N/A</v>
      </c>
      <c r="C97" s="1" t="e">
        <f t="shared" si="7"/>
        <v>#N/A</v>
      </c>
      <c r="D97" s="1" t="e">
        <f t="shared" si="8"/>
        <v>#N/A</v>
      </c>
      <c r="E97">
        <v>7201</v>
      </c>
      <c r="F97" s="16" t="s">
        <v>918</v>
      </c>
      <c r="G97" t="s">
        <v>919</v>
      </c>
      <c r="H97">
        <f t="shared" si="9"/>
        <v>7200</v>
      </c>
    </row>
  </sheetData>
  <autoFilter ref="A1:K1" xr:uid="{73CED366-67E6-402F-A4AA-C9B09B4EC679}">
    <filterColumn colId="4" showButton="0"/>
    <filterColumn colId="5" showButton="0"/>
    <filterColumn colId="6" showButton="0"/>
  </autoFilter>
  <mergeCells count="3">
    <mergeCell ref="E1:H1"/>
    <mergeCell ref="L1:V1"/>
    <mergeCell ref="X1:A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5EC8-39FE-4FA8-9028-6B1B9A7BA384}">
  <dimension ref="A1:R95"/>
  <sheetViews>
    <sheetView topLeftCell="A70" workbookViewId="0">
      <selection activeCell="B2" sqref="B2:B95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 s="1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 s="1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 s="1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 s="1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 s="1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 s="1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s="1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s="1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s="1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s="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s="1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s="1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 s="1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s="1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s="1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s="1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s="1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s="1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s="1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s="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s="1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s="1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b">
        <f t="shared" si="0"/>
        <v>0</v>
      </c>
      <c r="B24" s="1" t="b">
        <f t="shared" si="1"/>
        <v>0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b">
        <f t="shared" si="0"/>
        <v>0</v>
      </c>
      <c r="B25" s="1" t="b">
        <f t="shared" si="1"/>
        <v>0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b">
        <f t="shared" si="0"/>
        <v>0</v>
      </c>
      <c r="B26" s="1" t="b">
        <f t="shared" si="1"/>
        <v>0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b">
        <f t="shared" si="0"/>
        <v>0</v>
      </c>
      <c r="B27" s="1" t="b">
        <f t="shared" si="1"/>
        <v>0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s="1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s="1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s="1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s="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s="1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s="1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s="1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s="1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s="1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s="1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s="1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s="1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s="1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s="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s="1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s="1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s="1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s="1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s="1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s="1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s="1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s="1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s="1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s="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s="1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s="1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s="1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s="1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s="1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s="1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s="1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 s="1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 s="1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 s="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s="1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s="1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s="1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 s="1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s="1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s="1" t="b">
        <f t="shared" ref="B67:B95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s="1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s="1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s="1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s="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s="1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s="1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s="1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s="1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s="1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s="1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s="1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s="1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s="1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s="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s="1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s="1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s="1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s="1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s="1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s="1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e">
        <f t="shared" si="3"/>
        <v>#N/A</v>
      </c>
      <c r="B88" s="1" t="e">
        <f t="shared" si="4"/>
        <v>#N/A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7052</v>
      </c>
      <c r="H88" t="s">
        <v>1018</v>
      </c>
      <c r="I88" t="s">
        <v>1008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1008</v>
      </c>
      <c r="P88">
        <v>7052</v>
      </c>
      <c r="Q88">
        <v>3</v>
      </c>
      <c r="R88" t="s">
        <v>421</v>
      </c>
    </row>
    <row r="89" spans="1:18" x14ac:dyDescent="0.3">
      <c r="A89" s="30" t="str">
        <f t="shared" si="3"/>
        <v>Peak Reactive Power</v>
      </c>
      <c r="B89" s="1">
        <f t="shared" si="4"/>
        <v>89</v>
      </c>
      <c r="C89" s="30">
        <v>7175</v>
      </c>
      <c r="D89" s="32" t="s">
        <v>728</v>
      </c>
      <c r="E89" s="30" t="s">
        <v>636</v>
      </c>
      <c r="F89">
        <f t="shared" si="5"/>
        <v>7174</v>
      </c>
      <c r="G89">
        <v>7054</v>
      </c>
      <c r="H89" t="s">
        <v>1018</v>
      </c>
      <c r="I89" t="s">
        <v>1009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1009</v>
      </c>
      <c r="P89">
        <v>7054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s="1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  <c r="G90">
        <v>7056</v>
      </c>
      <c r="H90" t="s">
        <v>1018</v>
      </c>
      <c r="I90" t="s">
        <v>1010</v>
      </c>
      <c r="J90">
        <v>88</v>
      </c>
      <c r="K90" t="s">
        <v>380</v>
      </c>
      <c r="L90" t="s">
        <v>381</v>
      </c>
      <c r="M90">
        <v>1E-3</v>
      </c>
      <c r="N90">
        <v>0</v>
      </c>
      <c r="O90" t="s">
        <v>1010</v>
      </c>
      <c r="P90">
        <v>7056</v>
      </c>
      <c r="Q90">
        <v>3</v>
      </c>
      <c r="R90" t="s">
        <v>421</v>
      </c>
    </row>
    <row r="91" spans="1:18" x14ac:dyDescent="0.3">
      <c r="A91" t="str">
        <f>IF(VLOOKUP(F91,$G$2:$R$95,2,0)="Used",VLOOKUP(F91,$G$2:$R$95,3,0),"")</f>
        <v/>
      </c>
      <c r="B91" s="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  <c r="G91">
        <v>7174</v>
      </c>
      <c r="H91" t="s">
        <v>1018</v>
      </c>
      <c r="I91" t="s">
        <v>1011</v>
      </c>
      <c r="J91">
        <v>89</v>
      </c>
      <c r="K91" t="s">
        <v>380</v>
      </c>
      <c r="L91" t="s">
        <v>381</v>
      </c>
      <c r="M91">
        <v>1E-3</v>
      </c>
      <c r="N91">
        <v>0</v>
      </c>
      <c r="O91" t="s">
        <v>1011</v>
      </c>
      <c r="P91">
        <v>7174</v>
      </c>
      <c r="Q91">
        <v>3</v>
      </c>
      <c r="R91" t="s">
        <v>421</v>
      </c>
    </row>
    <row r="92" spans="1:18" x14ac:dyDescent="0.3">
      <c r="A92" t="b">
        <f t="shared" si="3"/>
        <v>0</v>
      </c>
      <c r="B92" s="1" t="b">
        <f t="shared" si="4"/>
        <v>0</v>
      </c>
      <c r="C92">
        <v>7183</v>
      </c>
      <c r="D92" s="16" t="s">
        <v>639</v>
      </c>
      <c r="E92" t="s">
        <v>640</v>
      </c>
      <c r="F92">
        <f t="shared" si="5"/>
        <v>7182</v>
      </c>
      <c r="G92">
        <v>7180</v>
      </c>
      <c r="I92" t="s">
        <v>1012</v>
      </c>
      <c r="J92">
        <v>90</v>
      </c>
      <c r="K92" t="s">
        <v>380</v>
      </c>
      <c r="L92" t="s">
        <v>381</v>
      </c>
      <c r="M92">
        <v>1E-3</v>
      </c>
      <c r="N92">
        <v>0</v>
      </c>
      <c r="O92" t="s">
        <v>1012</v>
      </c>
      <c r="P92">
        <v>7180</v>
      </c>
      <c r="Q92">
        <v>3</v>
      </c>
      <c r="R92" t="s">
        <v>421</v>
      </c>
    </row>
    <row r="93" spans="1:18" x14ac:dyDescent="0.3">
      <c r="A93" t="e">
        <f t="shared" si="3"/>
        <v>#N/A</v>
      </c>
      <c r="B93" s="1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  <c r="G93">
        <v>7182</v>
      </c>
      <c r="I93" t="s">
        <v>1013</v>
      </c>
      <c r="J93">
        <v>91</v>
      </c>
      <c r="K93" t="s">
        <v>380</v>
      </c>
      <c r="L93" t="s">
        <v>381</v>
      </c>
      <c r="M93">
        <v>1</v>
      </c>
      <c r="N93">
        <v>0</v>
      </c>
      <c r="O93" t="s">
        <v>1013</v>
      </c>
      <c r="P93">
        <v>7182</v>
      </c>
      <c r="Q93">
        <v>3</v>
      </c>
      <c r="R93" t="s">
        <v>395</v>
      </c>
    </row>
    <row r="94" spans="1:18" x14ac:dyDescent="0.3">
      <c r="A94" t="e">
        <f t="shared" si="3"/>
        <v>#N/A</v>
      </c>
      <c r="B94" s="1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  <c r="G94">
        <v>7186</v>
      </c>
      <c r="I94" t="s">
        <v>1019</v>
      </c>
      <c r="J94">
        <v>92</v>
      </c>
      <c r="K94" t="s">
        <v>380</v>
      </c>
      <c r="L94" t="s">
        <v>381</v>
      </c>
      <c r="M94">
        <v>1</v>
      </c>
      <c r="N94">
        <v>0</v>
      </c>
      <c r="O94" t="s">
        <v>1019</v>
      </c>
      <c r="P94">
        <v>7186</v>
      </c>
      <c r="Q94">
        <v>3</v>
      </c>
      <c r="R94" t="s">
        <v>1020</v>
      </c>
    </row>
    <row r="95" spans="1:18" x14ac:dyDescent="0.3">
      <c r="A95" t="e">
        <f t="shared" si="3"/>
        <v>#N/A</v>
      </c>
      <c r="B95" s="1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B7F5-730D-4106-BA0D-6977B44F073F}">
  <dimension ref="A1:R98"/>
  <sheetViews>
    <sheetView topLeftCell="A71" workbookViewId="0">
      <selection activeCell="B2" sqref="B2:B98"/>
    </sheetView>
  </sheetViews>
  <sheetFormatPr defaultColWidth="6.75" defaultRowHeight="16.5" x14ac:dyDescent="0.3"/>
  <cols>
    <col min="1" max="1" width="18.125" bestFit="1" customWidth="1"/>
    <col min="2" max="2" width="18.125" customWidth="1"/>
    <col min="4" max="4" width="8.875" bestFit="1" customWidth="1"/>
    <col min="5" max="5" width="15.5" bestFit="1" customWidth="1"/>
    <col min="7" max="7" width="11.125" customWidth="1"/>
    <col min="8" max="8" width="9.625" customWidth="1"/>
    <col min="9" max="9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s="1" t="str">
        <f>IF(VLOOKUP(F2,$G$2:$R$96,2,0)="Used",VLOOKUP(F2,$G$2:$R$96,3,0))</f>
        <v>Inst_kW</v>
      </c>
      <c r="B2" s="1">
        <f>IF(VLOOKUP(F2,$G$2:$R$96,2,0)="Used",VLOOKUP(F2,$G$2:$R$96,4,0))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s="1" t="str">
        <f t="shared" ref="A3:A66" si="0">IF(VLOOKUP(F3,$G$2:$R$96,2,0)="Used",VLOOKUP(F3,$G$2:$R$96,3,0))</f>
        <v>Inst_kVAr</v>
      </c>
      <c r="B3" s="1">
        <f t="shared" ref="B3:B66" si="1">IF(VLOOKUP(F3,$G$2:$R$96,2,0)="Used",VLOOKUP(F3,$G$2:$R$96,4,0))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s="1" t="str">
        <f t="shared" si="0"/>
        <v>Ex_Total_kWh</v>
      </c>
      <c r="B4" s="1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s="1" t="str">
        <f t="shared" si="0"/>
        <v>Ex_kWh_RateA</v>
      </c>
      <c r="B5" s="1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s="1" t="str">
        <f t="shared" si="0"/>
        <v>Ex_kWh_RateB</v>
      </c>
      <c r="B6" s="1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s="1" t="str">
        <f t="shared" si="0"/>
        <v>Ex_kWh_RateC</v>
      </c>
      <c r="B7" s="1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s="1" t="b">
        <f t="shared" si="0"/>
        <v>0</v>
      </c>
      <c r="B8" s="1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s="1" t="b">
        <f t="shared" si="0"/>
        <v>0</v>
      </c>
      <c r="B9" s="1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s="1" t="b">
        <f t="shared" si="0"/>
        <v>0</v>
      </c>
      <c r="B10" s="1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s="1" t="b">
        <f t="shared" si="0"/>
        <v>0</v>
      </c>
      <c r="B11" s="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s="1" t="b">
        <f t="shared" si="0"/>
        <v>0</v>
      </c>
      <c r="B12" s="1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s="1" t="b">
        <f t="shared" si="0"/>
        <v>0</v>
      </c>
      <c r="B13" s="1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s="1" t="str">
        <f t="shared" si="0"/>
        <v>Ex_Total_kVArh</v>
      </c>
      <c r="B14" s="1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s="1" t="b">
        <f t="shared" si="0"/>
        <v>0</v>
      </c>
      <c r="B15" s="1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s="1" t="b">
        <f t="shared" si="0"/>
        <v>0</v>
      </c>
      <c r="B16" s="1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s="1" t="b">
        <f t="shared" si="0"/>
        <v>0</v>
      </c>
      <c r="B17" s="1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s="1" t="b">
        <f t="shared" si="0"/>
        <v>0</v>
      </c>
      <c r="B18" s="1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s="1" t="b">
        <f t="shared" si="0"/>
        <v>0</v>
      </c>
      <c r="B19" s="1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s="1" t="b">
        <f t="shared" si="0"/>
        <v>0</v>
      </c>
      <c r="B20" s="1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s="1" t="b">
        <f t="shared" si="0"/>
        <v>0</v>
      </c>
      <c r="B21" s="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s="1" t="b">
        <f t="shared" si="0"/>
        <v>0</v>
      </c>
      <c r="B22" s="1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s="1" t="b">
        <f t="shared" si="0"/>
        <v>0</v>
      </c>
      <c r="B23" s="1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s="1" t="b">
        <f t="shared" si="0"/>
        <v>0</v>
      </c>
      <c r="B24" s="1" t="b">
        <f t="shared" si="1"/>
        <v>0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s="1" t="b">
        <f t="shared" si="0"/>
        <v>0</v>
      </c>
      <c r="B25" s="1" t="b">
        <f t="shared" si="1"/>
        <v>0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s="1" t="b">
        <f t="shared" si="0"/>
        <v>0</v>
      </c>
      <c r="B26" s="1" t="b">
        <f t="shared" si="1"/>
        <v>0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s="1" t="b">
        <f t="shared" si="0"/>
        <v>0</v>
      </c>
      <c r="B27" s="1" t="b">
        <f t="shared" si="1"/>
        <v>0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s="1" t="b">
        <f t="shared" si="0"/>
        <v>0</v>
      </c>
      <c r="B28" s="1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s="1" t="b">
        <f t="shared" si="0"/>
        <v>0</v>
      </c>
      <c r="B29" s="1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s="1" t="b">
        <f t="shared" si="0"/>
        <v>0</v>
      </c>
      <c r="B30" s="1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s="1" t="b">
        <f t="shared" si="0"/>
        <v>0</v>
      </c>
      <c r="B31" s="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s="1" t="b">
        <f t="shared" si="0"/>
        <v>0</v>
      </c>
      <c r="B32" s="1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s="1" t="b">
        <f t="shared" si="0"/>
        <v>0</v>
      </c>
      <c r="B33" s="1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s="1" t="b">
        <f t="shared" si="0"/>
        <v>0</v>
      </c>
      <c r="B34" s="1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s="1" t="b">
        <f t="shared" si="0"/>
        <v>0</v>
      </c>
      <c r="B35" s="1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s="1" t="b">
        <f t="shared" si="0"/>
        <v>0</v>
      </c>
      <c r="B36" s="1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s="1" t="b">
        <f t="shared" si="0"/>
        <v>0</v>
      </c>
      <c r="B37" s="1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s="1" t="b">
        <f t="shared" si="0"/>
        <v>0</v>
      </c>
      <c r="B38" s="1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s="1" t="b">
        <f t="shared" si="0"/>
        <v>0</v>
      </c>
      <c r="B39" s="1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s="1" t="b">
        <f t="shared" si="0"/>
        <v>0</v>
      </c>
      <c r="B40" s="1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s="1" t="b">
        <f t="shared" si="0"/>
        <v>0</v>
      </c>
      <c r="B41" s="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s="1" t="b">
        <f t="shared" si="0"/>
        <v>0</v>
      </c>
      <c r="B42" s="1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s="1" t="b">
        <f t="shared" si="0"/>
        <v>0</v>
      </c>
      <c r="B43" s="1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s="1" t="b">
        <f t="shared" si="0"/>
        <v>0</v>
      </c>
      <c r="B44" s="1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s="1" t="b">
        <f t="shared" si="0"/>
        <v>0</v>
      </c>
      <c r="B45" s="1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s="1" t="b">
        <f t="shared" si="0"/>
        <v>0</v>
      </c>
      <c r="B46" s="1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s="1" t="b">
        <f t="shared" si="0"/>
        <v>0</v>
      </c>
      <c r="B47" s="1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s="1" t="b">
        <f t="shared" si="0"/>
        <v>0</v>
      </c>
      <c r="B48" s="1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s="1" t="b">
        <f t="shared" si="0"/>
        <v>0</v>
      </c>
      <c r="B49" s="1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s="1" t="b">
        <f t="shared" si="0"/>
        <v>0</v>
      </c>
      <c r="B50" s="1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s="1" t="b">
        <f t="shared" si="0"/>
        <v>0</v>
      </c>
      <c r="B51" s="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s="1" t="b">
        <f t="shared" si="0"/>
        <v>0</v>
      </c>
      <c r="B52" s="1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s="1" t="b">
        <f t="shared" si="0"/>
        <v>0</v>
      </c>
      <c r="B53" s="1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s="1" t="b">
        <f t="shared" si="0"/>
        <v>0</v>
      </c>
      <c r="B54" s="1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s="1" t="b">
        <f t="shared" si="0"/>
        <v>0</v>
      </c>
      <c r="B55" s="1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s="1" t="b">
        <f t="shared" si="0"/>
        <v>0</v>
      </c>
      <c r="B56" s="1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s="1" t="b">
        <f t="shared" si="0"/>
        <v>0</v>
      </c>
      <c r="B57" s="1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s="1" t="b">
        <f t="shared" si="0"/>
        <v>0</v>
      </c>
      <c r="B58" s="1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s="1" t="str">
        <f t="shared" si="0"/>
        <v>Im_kWh_RateA</v>
      </c>
      <c r="B59" s="1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s="1" t="str">
        <f t="shared" si="0"/>
        <v>Im_kWh_RateB</v>
      </c>
      <c r="B60" s="1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s="1" t="str">
        <f t="shared" si="0"/>
        <v>Im_kWh_RateC</v>
      </c>
      <c r="B61" s="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s="1" t="b">
        <f t="shared" si="0"/>
        <v>0</v>
      </c>
      <c r="B62" s="1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s="1" t="b">
        <f t="shared" si="0"/>
        <v>0</v>
      </c>
      <c r="B63" s="1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s="1" t="b">
        <f t="shared" si="0"/>
        <v>0</v>
      </c>
      <c r="B64" s="1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s="1" t="str">
        <f t="shared" si="0"/>
        <v>Im_Total_kVArh</v>
      </c>
      <c r="B65" s="1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s="1" t="b">
        <f t="shared" si="0"/>
        <v>0</v>
      </c>
      <c r="B66" s="1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s="1" t="b">
        <f t="shared" ref="A67:A98" si="3">IF(VLOOKUP(F67,$G$2:$R$96,2,0)="Used",VLOOKUP(F67,$G$2:$R$96,3,0))</f>
        <v>0</v>
      </c>
      <c r="B67" s="1" t="b">
        <f t="shared" ref="B67:B98" si="4">IF(VLOOKUP(F67,$G$2:$R$96,2,0)="Used",VLOOKUP(F67,$G$2:$R$96,4,0))</f>
        <v>0</v>
      </c>
      <c r="C67">
        <v>7131</v>
      </c>
      <c r="D67" s="16" t="s">
        <v>707</v>
      </c>
      <c r="E67" t="s">
        <v>614</v>
      </c>
      <c r="F67">
        <f t="shared" ref="F67:F98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s="1" t="b">
        <f t="shared" si="3"/>
        <v>0</v>
      </c>
      <c r="B68" s="1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s="1" t="b">
        <f t="shared" si="3"/>
        <v>0</v>
      </c>
      <c r="B69" s="1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s="1" t="b">
        <f t="shared" si="3"/>
        <v>0</v>
      </c>
      <c r="B70" s="1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s="1" t="b">
        <f t="shared" si="3"/>
        <v>0</v>
      </c>
      <c r="B71" s="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s="1" t="b">
        <f t="shared" si="3"/>
        <v>0</v>
      </c>
      <c r="B72" s="1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s="1" t="b">
        <f t="shared" si="3"/>
        <v>0</v>
      </c>
      <c r="B73" s="1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s="1" t="b">
        <f t="shared" si="3"/>
        <v>0</v>
      </c>
      <c r="B74" s="1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s="1" t="b">
        <f t="shared" si="3"/>
        <v>0</v>
      </c>
      <c r="B75" s="1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s="1" t="b">
        <f t="shared" si="3"/>
        <v>0</v>
      </c>
      <c r="B76" s="1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s="1" t="b">
        <f t="shared" si="3"/>
        <v>0</v>
      </c>
      <c r="B77" s="1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s="1" t="b">
        <f t="shared" si="3"/>
        <v>0</v>
      </c>
      <c r="B78" s="1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s="1" t="b">
        <f t="shared" si="3"/>
        <v>0</v>
      </c>
      <c r="B79" s="1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s="1" t="b">
        <f t="shared" si="3"/>
        <v>0</v>
      </c>
      <c r="B80" s="1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s="1" t="b">
        <f t="shared" si="3"/>
        <v>0</v>
      </c>
      <c r="B81" s="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s="1" t="b">
        <f t="shared" si="3"/>
        <v>0</v>
      </c>
      <c r="B82" s="1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s="1" t="b">
        <f t="shared" si="3"/>
        <v>0</v>
      </c>
      <c r="B83" s="1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s="1" t="b">
        <f t="shared" si="3"/>
        <v>0</v>
      </c>
      <c r="B84" s="1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s="1" t="b">
        <f t="shared" si="3"/>
        <v>0</v>
      </c>
      <c r="B85" s="1" t="b">
        <f t="shared" si="4"/>
        <v>0</v>
      </c>
      <c r="C85">
        <v>7167</v>
      </c>
      <c r="D85" s="16" t="s">
        <v>725</v>
      </c>
      <c r="E85" t="s">
        <v>632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s="1" t="b">
        <f t="shared" si="3"/>
        <v>0</v>
      </c>
      <c r="B86" s="1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s="1" t="b">
        <f t="shared" si="3"/>
        <v>0</v>
      </c>
      <c r="B87" s="1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s="1" t="e">
        <f t="shared" si="3"/>
        <v>#N/A</v>
      </c>
      <c r="B88" s="1" t="e">
        <f t="shared" si="4"/>
        <v>#N/A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7052</v>
      </c>
      <c r="H88" t="s">
        <v>1018</v>
      </c>
      <c r="I88" t="s">
        <v>1008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1008</v>
      </c>
      <c r="P88">
        <v>7052</v>
      </c>
      <c r="Q88">
        <v>3</v>
      </c>
      <c r="R88" t="s">
        <v>421</v>
      </c>
    </row>
    <row r="89" spans="1:18" x14ac:dyDescent="0.3">
      <c r="A89" s="31" t="str">
        <f>IF(VLOOKUP(F89,$G$2:$R$96,2,0)="Used",VLOOKUP(F89,$G$2:$R$96,3,0))</f>
        <v>Peak Reactive Power</v>
      </c>
      <c r="B89" s="1">
        <f t="shared" si="4"/>
        <v>89</v>
      </c>
      <c r="C89" s="30">
        <v>7175</v>
      </c>
      <c r="D89" s="32" t="s">
        <v>728</v>
      </c>
      <c r="E89" s="30" t="s">
        <v>636</v>
      </c>
      <c r="F89" s="30">
        <f t="shared" si="5"/>
        <v>7174</v>
      </c>
      <c r="G89">
        <v>7054</v>
      </c>
      <c r="H89" t="s">
        <v>1018</v>
      </c>
      <c r="I89" t="s">
        <v>1009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1009</v>
      </c>
      <c r="P89">
        <v>7054</v>
      </c>
      <c r="Q89">
        <v>3</v>
      </c>
      <c r="R89" t="s">
        <v>421</v>
      </c>
    </row>
    <row r="90" spans="1:18" x14ac:dyDescent="0.3">
      <c r="A90" s="1" t="e">
        <f t="shared" si="3"/>
        <v>#N/A</v>
      </c>
      <c r="B90" s="1" t="e">
        <f t="shared" si="4"/>
        <v>#N/A</v>
      </c>
      <c r="C90">
        <v>7177</v>
      </c>
      <c r="D90" s="16" t="s">
        <v>728</v>
      </c>
      <c r="E90" t="s">
        <v>636</v>
      </c>
      <c r="F90">
        <f t="shared" si="5"/>
        <v>7176</v>
      </c>
      <c r="G90">
        <v>7056</v>
      </c>
      <c r="H90" t="s">
        <v>1018</v>
      </c>
      <c r="I90" t="s">
        <v>1010</v>
      </c>
      <c r="J90">
        <v>88</v>
      </c>
      <c r="K90" t="s">
        <v>380</v>
      </c>
      <c r="L90" t="s">
        <v>381</v>
      </c>
      <c r="M90">
        <v>1E-3</v>
      </c>
      <c r="N90">
        <v>0</v>
      </c>
      <c r="O90" t="s">
        <v>1010</v>
      </c>
      <c r="P90">
        <v>7056</v>
      </c>
      <c r="Q90">
        <v>3</v>
      </c>
      <c r="R90" t="s">
        <v>421</v>
      </c>
    </row>
    <row r="91" spans="1:18" x14ac:dyDescent="0.3">
      <c r="A91" s="1" t="e">
        <f t="shared" si="3"/>
        <v>#N/A</v>
      </c>
      <c r="B91" s="1" t="e">
        <f t="shared" si="4"/>
        <v>#N/A</v>
      </c>
      <c r="C91">
        <v>7179</v>
      </c>
      <c r="D91" s="16" t="s">
        <v>729</v>
      </c>
      <c r="E91" t="s">
        <v>637</v>
      </c>
      <c r="F91">
        <f t="shared" si="5"/>
        <v>7178</v>
      </c>
      <c r="G91">
        <v>7174</v>
      </c>
      <c r="H91" t="s">
        <v>1018</v>
      </c>
      <c r="I91" t="s">
        <v>1011</v>
      </c>
      <c r="J91">
        <v>89</v>
      </c>
      <c r="K91" t="s">
        <v>380</v>
      </c>
      <c r="L91" t="s">
        <v>381</v>
      </c>
      <c r="M91">
        <v>1E-3</v>
      </c>
      <c r="N91">
        <v>0</v>
      </c>
      <c r="O91" t="s">
        <v>1011</v>
      </c>
      <c r="P91">
        <v>7174</v>
      </c>
      <c r="Q91">
        <v>3</v>
      </c>
      <c r="R91" t="s">
        <v>421</v>
      </c>
    </row>
    <row r="92" spans="1:18" x14ac:dyDescent="0.3">
      <c r="A92" s="1" t="b">
        <f t="shared" si="3"/>
        <v>0</v>
      </c>
      <c r="B92" s="1" t="b">
        <f t="shared" si="4"/>
        <v>0</v>
      </c>
      <c r="C92">
        <v>7181</v>
      </c>
      <c r="D92" s="16" t="s">
        <v>729</v>
      </c>
      <c r="E92" t="s">
        <v>637</v>
      </c>
      <c r="F92">
        <f t="shared" si="5"/>
        <v>7180</v>
      </c>
      <c r="G92">
        <v>7180</v>
      </c>
      <c r="I92" t="s">
        <v>1012</v>
      </c>
      <c r="J92">
        <v>90</v>
      </c>
      <c r="K92" t="s">
        <v>380</v>
      </c>
      <c r="L92" t="s">
        <v>381</v>
      </c>
      <c r="M92">
        <v>1E-3</v>
      </c>
      <c r="N92">
        <v>0</v>
      </c>
      <c r="O92" t="s">
        <v>1012</v>
      </c>
      <c r="P92">
        <v>7180</v>
      </c>
      <c r="Q92">
        <v>3</v>
      </c>
      <c r="R92" t="s">
        <v>421</v>
      </c>
    </row>
    <row r="93" spans="1:18" x14ac:dyDescent="0.3">
      <c r="A93" s="1" t="b">
        <f t="shared" si="3"/>
        <v>0</v>
      </c>
      <c r="B93" s="1" t="b">
        <f t="shared" si="4"/>
        <v>0</v>
      </c>
      <c r="C93">
        <v>7183</v>
      </c>
      <c r="D93" s="16" t="s">
        <v>730</v>
      </c>
      <c r="E93" t="s">
        <v>638</v>
      </c>
      <c r="F93">
        <f t="shared" si="5"/>
        <v>7182</v>
      </c>
      <c r="G93">
        <v>7182</v>
      </c>
      <c r="I93" t="s">
        <v>1013</v>
      </c>
      <c r="J93">
        <v>91</v>
      </c>
      <c r="K93" t="s">
        <v>380</v>
      </c>
      <c r="L93" t="s">
        <v>381</v>
      </c>
      <c r="M93">
        <v>1</v>
      </c>
      <c r="N93">
        <v>0</v>
      </c>
      <c r="O93" t="s">
        <v>1013</v>
      </c>
      <c r="P93">
        <v>7182</v>
      </c>
      <c r="Q93">
        <v>3</v>
      </c>
      <c r="R93" t="s">
        <v>395</v>
      </c>
    </row>
    <row r="94" spans="1:18" x14ac:dyDescent="0.3">
      <c r="A94" s="1" t="e">
        <f t="shared" si="3"/>
        <v>#N/A</v>
      </c>
      <c r="B94" s="1" t="e">
        <f t="shared" si="4"/>
        <v>#N/A</v>
      </c>
      <c r="C94">
        <v>7185</v>
      </c>
      <c r="D94" s="16" t="s">
        <v>639</v>
      </c>
      <c r="E94" t="s">
        <v>640</v>
      </c>
      <c r="F94">
        <f t="shared" si="5"/>
        <v>7184</v>
      </c>
      <c r="G94">
        <v>7186</v>
      </c>
      <c r="I94" t="s">
        <v>1019</v>
      </c>
      <c r="J94">
        <v>92</v>
      </c>
      <c r="K94" t="s">
        <v>380</v>
      </c>
      <c r="L94" t="s">
        <v>381</v>
      </c>
      <c r="M94">
        <v>1</v>
      </c>
      <c r="N94">
        <v>0</v>
      </c>
      <c r="O94" t="s">
        <v>1019</v>
      </c>
      <c r="P94">
        <v>7186</v>
      </c>
      <c r="Q94">
        <v>3</v>
      </c>
      <c r="R94" t="s">
        <v>1020</v>
      </c>
    </row>
    <row r="95" spans="1:18" x14ac:dyDescent="0.3">
      <c r="A95" s="1" t="b">
        <f t="shared" si="3"/>
        <v>0</v>
      </c>
      <c r="B95" s="1" t="b">
        <f t="shared" si="4"/>
        <v>0</v>
      </c>
      <c r="C95">
        <v>7187</v>
      </c>
      <c r="D95" s="16" t="s">
        <v>731</v>
      </c>
      <c r="E95" t="s">
        <v>641</v>
      </c>
      <c r="F95">
        <f t="shared" si="5"/>
        <v>7186</v>
      </c>
    </row>
    <row r="96" spans="1:18" x14ac:dyDescent="0.3">
      <c r="A96" s="1" t="e">
        <f t="shared" si="3"/>
        <v>#N/A</v>
      </c>
      <c r="B96" s="1" t="e">
        <f t="shared" si="4"/>
        <v>#N/A</v>
      </c>
      <c r="C96">
        <v>7191</v>
      </c>
      <c r="D96" s="16" t="s">
        <v>732</v>
      </c>
      <c r="E96" t="s">
        <v>642</v>
      </c>
      <c r="F96">
        <f t="shared" si="5"/>
        <v>7190</v>
      </c>
    </row>
    <row r="97" spans="1:6" x14ac:dyDescent="0.3">
      <c r="A97" s="1" t="e">
        <f t="shared" si="3"/>
        <v>#N/A</v>
      </c>
      <c r="B97" s="1" t="e">
        <f t="shared" si="4"/>
        <v>#N/A</v>
      </c>
      <c r="C97">
        <v>7195</v>
      </c>
      <c r="D97" s="16" t="s">
        <v>733</v>
      </c>
      <c r="E97" t="s">
        <v>643</v>
      </c>
      <c r="F97">
        <f t="shared" si="5"/>
        <v>7194</v>
      </c>
    </row>
    <row r="98" spans="1:6" x14ac:dyDescent="0.3">
      <c r="A98" s="1" t="e">
        <f t="shared" si="3"/>
        <v>#N/A</v>
      </c>
      <c r="B98" s="1" t="e">
        <f t="shared" si="4"/>
        <v>#N/A</v>
      </c>
      <c r="C98">
        <v>7199</v>
      </c>
      <c r="D98" s="16" t="s">
        <v>644</v>
      </c>
      <c r="E98" t="s">
        <v>645</v>
      </c>
      <c r="F98">
        <f t="shared" si="5"/>
        <v>7198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3466-470B-4CEF-9B23-D992CF9CF486}">
  <dimension ref="A1:R98"/>
  <sheetViews>
    <sheetView topLeftCell="A36" workbookViewId="0">
      <selection activeCell="B2" sqref="B2:B58"/>
    </sheetView>
  </sheetViews>
  <sheetFormatPr defaultColWidth="6.75" defaultRowHeight="16.5" x14ac:dyDescent="0.3"/>
  <cols>
    <col min="1" max="1" width="18.125" bestFit="1" customWidth="1"/>
    <col min="2" max="2" width="18.125" customWidth="1"/>
    <col min="4" max="4" width="8.875" bestFit="1" customWidth="1"/>
    <col min="5" max="5" width="15.5" bestFit="1" customWidth="1"/>
    <col min="7" max="7" width="11.125" customWidth="1"/>
    <col min="8" max="8" width="9.625" customWidth="1"/>
    <col min="9" max="9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s="1" t="str">
        <f t="shared" ref="A2:A33" si="0">IF(VLOOKUP(F2,$G$2:$R$96,2,0)="Used",VLOOKUP(F2,$G$2:$R$96,3,0))</f>
        <v>Ex Total  kWh</v>
      </c>
      <c r="B2" s="1">
        <f>IF(VLOOKUP(F2,$G$2:$R$96,2,0)="Used",VLOOKUP(F2,$G$2:$R$96,4,0))</f>
        <v>9</v>
      </c>
      <c r="C2">
        <v>7001</v>
      </c>
      <c r="D2" s="16" t="s">
        <v>648</v>
      </c>
      <c r="E2" t="s">
        <v>554</v>
      </c>
      <c r="F2">
        <f>C2-1</f>
        <v>7000</v>
      </c>
      <c r="G2">
        <v>7040</v>
      </c>
      <c r="I2" t="s">
        <v>1051</v>
      </c>
      <c r="J2">
        <v>1</v>
      </c>
      <c r="K2" t="s">
        <v>380</v>
      </c>
      <c r="L2" t="s">
        <v>381</v>
      </c>
      <c r="M2">
        <v>1</v>
      </c>
      <c r="N2">
        <v>0</v>
      </c>
      <c r="O2" t="s">
        <v>1052</v>
      </c>
      <c r="P2">
        <v>7040</v>
      </c>
      <c r="Q2">
        <v>3</v>
      </c>
      <c r="R2" t="s">
        <v>421</v>
      </c>
    </row>
    <row r="3" spans="1:18" x14ac:dyDescent="0.3">
      <c r="A3" s="1" t="str">
        <f t="shared" si="0"/>
        <v>Ex_kWh_RateA</v>
      </c>
      <c r="B3" s="1">
        <f t="shared" ref="B3:B58" si="1">IF(VLOOKUP(F3,$G$2:$R$96,2,0)="Used",VLOOKUP(F3,$G$2:$R$96,4,0))</f>
        <v>19</v>
      </c>
      <c r="C3">
        <v>7003</v>
      </c>
      <c r="D3" s="16" t="s">
        <v>738</v>
      </c>
      <c r="E3" t="s">
        <v>555</v>
      </c>
      <c r="F3">
        <f t="shared" ref="F3:F58" si="2">C3-1</f>
        <v>7002</v>
      </c>
      <c r="G3">
        <v>7042</v>
      </c>
      <c r="I3" t="s">
        <v>1053</v>
      </c>
      <c r="J3">
        <v>2</v>
      </c>
      <c r="K3" t="s">
        <v>380</v>
      </c>
      <c r="L3" t="s">
        <v>381</v>
      </c>
      <c r="M3">
        <v>1</v>
      </c>
      <c r="N3">
        <v>0</v>
      </c>
      <c r="O3" t="s">
        <v>1054</v>
      </c>
      <c r="P3">
        <v>7042</v>
      </c>
      <c r="Q3">
        <v>3</v>
      </c>
      <c r="R3" t="s">
        <v>421</v>
      </c>
    </row>
    <row r="4" spans="1:18" x14ac:dyDescent="0.3">
      <c r="A4" s="1" t="str">
        <f t="shared" si="0"/>
        <v>Ex_kWh_RateB</v>
      </c>
      <c r="B4" s="1">
        <f t="shared" si="1"/>
        <v>20</v>
      </c>
      <c r="C4">
        <v>7005</v>
      </c>
      <c r="D4" s="16" t="s">
        <v>739</v>
      </c>
      <c r="E4" t="s">
        <v>556</v>
      </c>
      <c r="F4">
        <f t="shared" si="2"/>
        <v>7004</v>
      </c>
      <c r="G4">
        <v>7044</v>
      </c>
      <c r="I4" t="s">
        <v>1055</v>
      </c>
      <c r="J4">
        <v>3</v>
      </c>
      <c r="K4" t="s">
        <v>380</v>
      </c>
      <c r="L4" t="s">
        <v>381</v>
      </c>
      <c r="M4">
        <v>1</v>
      </c>
      <c r="N4">
        <v>0</v>
      </c>
      <c r="O4" t="s">
        <v>1056</v>
      </c>
      <c r="P4">
        <v>7044</v>
      </c>
      <c r="Q4">
        <v>3</v>
      </c>
      <c r="R4" t="s">
        <v>421</v>
      </c>
    </row>
    <row r="5" spans="1:18" x14ac:dyDescent="0.3">
      <c r="A5" s="1" t="str">
        <f t="shared" si="0"/>
        <v>Ex_kWh_RateC</v>
      </c>
      <c r="B5" s="1">
        <f t="shared" si="1"/>
        <v>21</v>
      </c>
      <c r="C5">
        <v>7007</v>
      </c>
      <c r="D5" s="16" t="s">
        <v>740</v>
      </c>
      <c r="E5" t="s">
        <v>557</v>
      </c>
      <c r="F5">
        <f t="shared" si="2"/>
        <v>7006</v>
      </c>
      <c r="G5">
        <v>7046</v>
      </c>
      <c r="H5" t="s">
        <v>1018</v>
      </c>
      <c r="I5" t="s">
        <v>484</v>
      </c>
      <c r="J5">
        <v>4</v>
      </c>
      <c r="K5" t="s">
        <v>380</v>
      </c>
      <c r="L5" t="s">
        <v>381</v>
      </c>
      <c r="M5">
        <v>1</v>
      </c>
      <c r="N5">
        <v>0</v>
      </c>
      <c r="O5" t="s">
        <v>1057</v>
      </c>
      <c r="P5">
        <v>7046</v>
      </c>
      <c r="Q5">
        <v>3</v>
      </c>
      <c r="R5" t="s">
        <v>421</v>
      </c>
    </row>
    <row r="6" spans="1:18" x14ac:dyDescent="0.3">
      <c r="A6" s="1" t="str">
        <f t="shared" si="0"/>
        <v>Peak Active power A</v>
      </c>
      <c r="B6" s="1">
        <f t="shared" si="1"/>
        <v>15</v>
      </c>
      <c r="C6">
        <v>7009</v>
      </c>
      <c r="D6" s="16" t="s">
        <v>652</v>
      </c>
      <c r="E6" t="s">
        <v>558</v>
      </c>
      <c r="F6">
        <f t="shared" si="2"/>
        <v>7008</v>
      </c>
      <c r="G6">
        <v>7048</v>
      </c>
      <c r="H6" t="s">
        <v>1018</v>
      </c>
      <c r="I6" t="s">
        <v>486</v>
      </c>
      <c r="J6">
        <v>5</v>
      </c>
      <c r="K6" t="s">
        <v>380</v>
      </c>
      <c r="L6" t="s">
        <v>381</v>
      </c>
      <c r="M6">
        <v>1</v>
      </c>
      <c r="N6">
        <v>0</v>
      </c>
      <c r="O6" t="s">
        <v>1058</v>
      </c>
      <c r="P6">
        <v>7048</v>
      </c>
      <c r="Q6">
        <v>3</v>
      </c>
      <c r="R6" t="s">
        <v>421</v>
      </c>
    </row>
    <row r="7" spans="1:18" x14ac:dyDescent="0.3">
      <c r="A7" s="1" t="str">
        <f t="shared" si="0"/>
        <v>Peak Active power B</v>
      </c>
      <c r="B7" s="1">
        <f t="shared" si="1"/>
        <v>16</v>
      </c>
      <c r="C7">
        <v>7011</v>
      </c>
      <c r="D7" s="16" t="s">
        <v>653</v>
      </c>
      <c r="E7" t="s">
        <v>559</v>
      </c>
      <c r="F7">
        <f t="shared" si="2"/>
        <v>7010</v>
      </c>
      <c r="G7">
        <v>7050</v>
      </c>
      <c r="H7" t="s">
        <v>1018</v>
      </c>
      <c r="I7" t="s">
        <v>488</v>
      </c>
      <c r="J7">
        <v>6</v>
      </c>
      <c r="K7" t="s">
        <v>380</v>
      </c>
      <c r="L7" t="s">
        <v>381</v>
      </c>
      <c r="M7">
        <v>1</v>
      </c>
      <c r="N7">
        <v>0</v>
      </c>
      <c r="O7" t="s">
        <v>1059</v>
      </c>
      <c r="P7">
        <v>7050</v>
      </c>
      <c r="Q7">
        <v>3</v>
      </c>
      <c r="R7" t="s">
        <v>421</v>
      </c>
    </row>
    <row r="8" spans="1:18" x14ac:dyDescent="0.3">
      <c r="A8" s="1" t="str">
        <f t="shared" si="0"/>
        <v>Peak Active power C</v>
      </c>
      <c r="B8" s="1">
        <f t="shared" si="1"/>
        <v>17</v>
      </c>
      <c r="C8">
        <v>7013</v>
      </c>
      <c r="D8" s="16" t="s">
        <v>654</v>
      </c>
      <c r="E8" t="s">
        <v>560</v>
      </c>
      <c r="F8">
        <f t="shared" si="2"/>
        <v>7012</v>
      </c>
      <c r="G8">
        <v>7058</v>
      </c>
      <c r="I8" t="s">
        <v>602</v>
      </c>
      <c r="J8">
        <v>7</v>
      </c>
      <c r="K8" t="s">
        <v>380</v>
      </c>
      <c r="L8" t="s">
        <v>381</v>
      </c>
      <c r="M8">
        <v>1</v>
      </c>
      <c r="N8">
        <v>0</v>
      </c>
      <c r="O8" t="s">
        <v>602</v>
      </c>
      <c r="P8">
        <v>7058</v>
      </c>
      <c r="Q8">
        <v>3</v>
      </c>
      <c r="R8" t="s">
        <v>421</v>
      </c>
    </row>
    <row r="9" spans="1:18" x14ac:dyDescent="0.3">
      <c r="A9" s="1" t="e">
        <f t="shared" si="0"/>
        <v>#N/A</v>
      </c>
      <c r="B9" s="1" t="e">
        <f t="shared" si="1"/>
        <v>#N/A</v>
      </c>
      <c r="C9">
        <v>7015</v>
      </c>
      <c r="D9" s="16" t="s">
        <v>655</v>
      </c>
      <c r="E9" t="s">
        <v>561</v>
      </c>
      <c r="F9">
        <f t="shared" si="2"/>
        <v>7014</v>
      </c>
      <c r="G9">
        <v>7060</v>
      </c>
      <c r="H9" t="s">
        <v>1018</v>
      </c>
      <c r="I9" t="s">
        <v>605</v>
      </c>
      <c r="J9">
        <v>8</v>
      </c>
      <c r="K9" t="s">
        <v>380</v>
      </c>
      <c r="L9" t="s">
        <v>381</v>
      </c>
      <c r="M9">
        <v>1</v>
      </c>
      <c r="N9">
        <v>0</v>
      </c>
      <c r="O9" t="s">
        <v>605</v>
      </c>
      <c r="P9">
        <v>7060</v>
      </c>
      <c r="Q9">
        <v>3</v>
      </c>
      <c r="R9" t="s">
        <v>421</v>
      </c>
    </row>
    <row r="10" spans="1:18" x14ac:dyDescent="0.3">
      <c r="A10" s="1" t="e">
        <f t="shared" si="0"/>
        <v>#N/A</v>
      </c>
      <c r="B10" s="1" t="e">
        <f t="shared" si="1"/>
        <v>#N/A</v>
      </c>
      <c r="C10">
        <v>7017</v>
      </c>
      <c r="D10" s="16" t="s">
        <v>656</v>
      </c>
      <c r="E10" t="s">
        <v>562</v>
      </c>
      <c r="F10">
        <f t="shared" si="2"/>
        <v>7016</v>
      </c>
      <c r="G10">
        <v>7000</v>
      </c>
      <c r="H10" t="s">
        <v>1018</v>
      </c>
      <c r="I10" t="s">
        <v>554</v>
      </c>
      <c r="J10">
        <v>9</v>
      </c>
      <c r="K10" t="s">
        <v>380</v>
      </c>
      <c r="L10" t="s">
        <v>381</v>
      </c>
      <c r="M10">
        <v>1E-3</v>
      </c>
      <c r="N10">
        <v>0</v>
      </c>
      <c r="O10" t="s">
        <v>1060</v>
      </c>
      <c r="P10">
        <v>7000</v>
      </c>
      <c r="Q10">
        <v>3</v>
      </c>
      <c r="R10" t="s">
        <v>421</v>
      </c>
    </row>
    <row r="11" spans="1:18" x14ac:dyDescent="0.3">
      <c r="A11" s="1" t="e">
        <f t="shared" si="0"/>
        <v>#N/A</v>
      </c>
      <c r="B11" s="1" t="e">
        <f t="shared" si="1"/>
        <v>#N/A</v>
      </c>
      <c r="C11">
        <v>7019</v>
      </c>
      <c r="D11" s="16" t="s">
        <v>657</v>
      </c>
      <c r="E11" t="s">
        <v>563</v>
      </c>
      <c r="F11">
        <f t="shared" si="2"/>
        <v>7018</v>
      </c>
      <c r="G11">
        <v>7020</v>
      </c>
      <c r="H11" t="s">
        <v>1018</v>
      </c>
      <c r="I11" t="s">
        <v>564</v>
      </c>
      <c r="J11">
        <v>10</v>
      </c>
      <c r="K11" t="s">
        <v>380</v>
      </c>
      <c r="L11" t="s">
        <v>381</v>
      </c>
      <c r="M11">
        <v>1E-3</v>
      </c>
      <c r="N11">
        <v>0</v>
      </c>
      <c r="O11" t="s">
        <v>1061</v>
      </c>
      <c r="P11">
        <v>7020</v>
      </c>
      <c r="Q11">
        <v>3</v>
      </c>
      <c r="R11" t="s">
        <v>421</v>
      </c>
    </row>
    <row r="12" spans="1:18" x14ac:dyDescent="0.3">
      <c r="A12" s="1" t="str">
        <f t="shared" si="0"/>
        <v>Ex Total kVArh</v>
      </c>
      <c r="B12" s="1">
        <f t="shared" si="1"/>
        <v>10</v>
      </c>
      <c r="C12">
        <v>7021</v>
      </c>
      <c r="D12" s="16" t="s">
        <v>658</v>
      </c>
      <c r="E12" t="s">
        <v>564</v>
      </c>
      <c r="F12">
        <f t="shared" si="2"/>
        <v>7020</v>
      </c>
      <c r="G12">
        <v>7114</v>
      </c>
      <c r="H12" t="s">
        <v>1018</v>
      </c>
      <c r="I12" t="s">
        <v>635</v>
      </c>
      <c r="J12">
        <v>11</v>
      </c>
      <c r="K12" t="s">
        <v>380</v>
      </c>
      <c r="L12" t="s">
        <v>381</v>
      </c>
      <c r="M12">
        <v>1E-3</v>
      </c>
      <c r="N12">
        <v>0</v>
      </c>
      <c r="O12" t="s">
        <v>1062</v>
      </c>
      <c r="P12">
        <v>7114</v>
      </c>
      <c r="Q12">
        <v>3</v>
      </c>
      <c r="R12" t="s">
        <v>421</v>
      </c>
    </row>
    <row r="13" spans="1:18" x14ac:dyDescent="0.3">
      <c r="A13" s="1" t="e">
        <f t="shared" si="0"/>
        <v>#N/A</v>
      </c>
      <c r="B13" s="1" t="e">
        <f t="shared" si="1"/>
        <v>#N/A</v>
      </c>
      <c r="C13">
        <v>7023</v>
      </c>
      <c r="D13" s="16" t="s">
        <v>659</v>
      </c>
      <c r="E13" t="s">
        <v>565</v>
      </c>
      <c r="F13">
        <f t="shared" si="2"/>
        <v>7022</v>
      </c>
      <c r="G13">
        <v>7116</v>
      </c>
      <c r="H13" t="s">
        <v>1018</v>
      </c>
      <c r="I13" t="s">
        <v>612</v>
      </c>
      <c r="J13">
        <v>12</v>
      </c>
      <c r="K13" t="s">
        <v>380</v>
      </c>
      <c r="L13" t="s">
        <v>381</v>
      </c>
      <c r="M13">
        <v>1E-3</v>
      </c>
      <c r="N13">
        <v>0</v>
      </c>
      <c r="O13" t="s">
        <v>1063</v>
      </c>
      <c r="P13">
        <v>7116</v>
      </c>
      <c r="Q13">
        <v>3</v>
      </c>
      <c r="R13" t="s">
        <v>421</v>
      </c>
    </row>
    <row r="14" spans="1:18" x14ac:dyDescent="0.3">
      <c r="A14" s="1" t="e">
        <f t="shared" si="0"/>
        <v>#N/A</v>
      </c>
      <c r="B14" s="1" t="e">
        <f t="shared" si="1"/>
        <v>#N/A</v>
      </c>
      <c r="C14">
        <v>7025</v>
      </c>
      <c r="D14" s="16" t="s">
        <v>660</v>
      </c>
      <c r="E14" t="s">
        <v>566</v>
      </c>
      <c r="F14">
        <f t="shared" si="2"/>
        <v>7024</v>
      </c>
      <c r="G14">
        <v>7118</v>
      </c>
      <c r="H14" t="s">
        <v>1018</v>
      </c>
      <c r="I14" t="s">
        <v>1064</v>
      </c>
      <c r="J14">
        <v>13</v>
      </c>
      <c r="K14" t="s">
        <v>380</v>
      </c>
      <c r="L14" t="s">
        <v>381</v>
      </c>
      <c r="M14">
        <v>1E-3</v>
      </c>
      <c r="N14">
        <v>0</v>
      </c>
      <c r="O14" t="s">
        <v>1065</v>
      </c>
      <c r="P14">
        <v>7118</v>
      </c>
      <c r="Q14">
        <v>3</v>
      </c>
      <c r="R14" t="s">
        <v>421</v>
      </c>
    </row>
    <row r="15" spans="1:18" x14ac:dyDescent="0.3">
      <c r="A15" s="1" t="e">
        <f t="shared" si="0"/>
        <v>#N/A</v>
      </c>
      <c r="B15" s="1" t="e">
        <f t="shared" si="1"/>
        <v>#N/A</v>
      </c>
      <c r="C15">
        <v>7027</v>
      </c>
      <c r="D15" s="16" t="s">
        <v>661</v>
      </c>
      <c r="E15" t="s">
        <v>567</v>
      </c>
      <c r="F15">
        <f t="shared" si="2"/>
        <v>7026</v>
      </c>
      <c r="G15">
        <v>7120</v>
      </c>
      <c r="H15" t="s">
        <v>1018</v>
      </c>
      <c r="I15" t="s">
        <v>1066</v>
      </c>
      <c r="J15">
        <v>14</v>
      </c>
      <c r="K15" t="s">
        <v>380</v>
      </c>
      <c r="L15" t="s">
        <v>381</v>
      </c>
      <c r="M15">
        <v>1E-3</v>
      </c>
      <c r="N15">
        <v>0</v>
      </c>
      <c r="O15" t="s">
        <v>1067</v>
      </c>
      <c r="P15">
        <v>7120</v>
      </c>
      <c r="Q15">
        <v>3</v>
      </c>
      <c r="R15" t="s">
        <v>421</v>
      </c>
    </row>
    <row r="16" spans="1:18" x14ac:dyDescent="0.3">
      <c r="A16" s="1" t="e">
        <f t="shared" si="0"/>
        <v>#N/A</v>
      </c>
      <c r="B16" s="1" t="e">
        <f t="shared" si="1"/>
        <v>#N/A</v>
      </c>
      <c r="C16">
        <v>7029</v>
      </c>
      <c r="D16" s="16" t="s">
        <v>662</v>
      </c>
      <c r="E16" t="s">
        <v>1026</v>
      </c>
      <c r="F16">
        <f t="shared" si="2"/>
        <v>7028</v>
      </c>
      <c r="G16">
        <v>7008</v>
      </c>
      <c r="H16" t="s">
        <v>1018</v>
      </c>
      <c r="I16" t="s">
        <v>1008</v>
      </c>
      <c r="J16">
        <v>15</v>
      </c>
      <c r="K16" t="s">
        <v>380</v>
      </c>
      <c r="L16" t="s">
        <v>381</v>
      </c>
      <c r="M16">
        <v>1E-3</v>
      </c>
      <c r="N16">
        <v>0</v>
      </c>
      <c r="O16" t="s">
        <v>1008</v>
      </c>
      <c r="P16">
        <v>7008</v>
      </c>
      <c r="Q16">
        <v>3</v>
      </c>
      <c r="R16" t="s">
        <v>421</v>
      </c>
    </row>
    <row r="17" spans="1:18" x14ac:dyDescent="0.3">
      <c r="A17" s="1" t="e">
        <f t="shared" si="0"/>
        <v>#N/A</v>
      </c>
      <c r="B17" s="1" t="e">
        <f t="shared" si="1"/>
        <v>#N/A</v>
      </c>
      <c r="C17">
        <v>7031</v>
      </c>
      <c r="D17" s="16" t="s">
        <v>663</v>
      </c>
      <c r="E17" t="s">
        <v>1027</v>
      </c>
      <c r="F17">
        <f t="shared" si="2"/>
        <v>7030</v>
      </c>
      <c r="G17">
        <v>7010</v>
      </c>
      <c r="H17" t="s">
        <v>1018</v>
      </c>
      <c r="I17" t="s">
        <v>1009</v>
      </c>
      <c r="J17">
        <v>16</v>
      </c>
      <c r="K17" t="s">
        <v>380</v>
      </c>
      <c r="L17" t="s">
        <v>381</v>
      </c>
      <c r="M17">
        <v>1E-3</v>
      </c>
      <c r="N17">
        <v>0</v>
      </c>
      <c r="O17" t="s">
        <v>1009</v>
      </c>
      <c r="P17">
        <v>7010</v>
      </c>
      <c r="Q17">
        <v>3</v>
      </c>
      <c r="R17" t="s">
        <v>421</v>
      </c>
    </row>
    <row r="18" spans="1:18" x14ac:dyDescent="0.3">
      <c r="A18" s="1" t="e">
        <f t="shared" si="0"/>
        <v>#N/A</v>
      </c>
      <c r="B18" s="1" t="e">
        <f t="shared" si="1"/>
        <v>#N/A</v>
      </c>
      <c r="C18">
        <v>7033</v>
      </c>
      <c r="D18" s="16" t="s">
        <v>664</v>
      </c>
      <c r="E18" t="s">
        <v>1028</v>
      </c>
      <c r="F18">
        <f t="shared" si="2"/>
        <v>7032</v>
      </c>
      <c r="G18">
        <v>7012</v>
      </c>
      <c r="H18" t="s">
        <v>1018</v>
      </c>
      <c r="I18" t="s">
        <v>1010</v>
      </c>
      <c r="J18">
        <v>17</v>
      </c>
      <c r="K18" t="s">
        <v>380</v>
      </c>
      <c r="L18" t="s">
        <v>381</v>
      </c>
      <c r="M18">
        <v>1E-3</v>
      </c>
      <c r="N18">
        <v>0</v>
      </c>
      <c r="O18" t="s">
        <v>1010</v>
      </c>
      <c r="P18">
        <v>7012</v>
      </c>
      <c r="Q18">
        <v>3</v>
      </c>
      <c r="R18" t="s">
        <v>421</v>
      </c>
    </row>
    <row r="19" spans="1:18" x14ac:dyDescent="0.3">
      <c r="A19" s="1" t="e">
        <f t="shared" si="0"/>
        <v>#N/A</v>
      </c>
      <c r="B19" s="1" t="e">
        <f t="shared" si="1"/>
        <v>#N/A</v>
      </c>
      <c r="C19">
        <v>7035</v>
      </c>
      <c r="D19" s="16" t="s">
        <v>665</v>
      </c>
      <c r="E19" t="s">
        <v>571</v>
      </c>
      <c r="F19">
        <f t="shared" si="2"/>
        <v>7034</v>
      </c>
      <c r="G19">
        <v>7138</v>
      </c>
      <c r="H19" t="s">
        <v>1018</v>
      </c>
      <c r="I19" t="s">
        <v>1011</v>
      </c>
      <c r="J19">
        <v>18</v>
      </c>
      <c r="K19" t="s">
        <v>380</v>
      </c>
      <c r="L19" t="s">
        <v>381</v>
      </c>
      <c r="M19">
        <v>1E-3</v>
      </c>
      <c r="N19">
        <v>0</v>
      </c>
      <c r="O19" t="s">
        <v>1011</v>
      </c>
      <c r="P19">
        <v>7138</v>
      </c>
      <c r="Q19">
        <v>3</v>
      </c>
      <c r="R19" t="s">
        <v>421</v>
      </c>
    </row>
    <row r="20" spans="1:18" x14ac:dyDescent="0.3">
      <c r="A20" s="1" t="e">
        <f t="shared" si="0"/>
        <v>#N/A</v>
      </c>
      <c r="B20" s="1" t="e">
        <f t="shared" si="1"/>
        <v>#N/A</v>
      </c>
      <c r="C20">
        <v>7037</v>
      </c>
      <c r="D20" s="16" t="s">
        <v>666</v>
      </c>
      <c r="E20" t="s">
        <v>572</v>
      </c>
      <c r="F20">
        <f t="shared" si="2"/>
        <v>7036</v>
      </c>
      <c r="G20">
        <v>7002</v>
      </c>
      <c r="H20" t="s">
        <v>1018</v>
      </c>
      <c r="I20" t="s">
        <v>926</v>
      </c>
      <c r="J20">
        <v>19</v>
      </c>
      <c r="K20" t="s">
        <v>380</v>
      </c>
      <c r="L20" t="s">
        <v>381</v>
      </c>
      <c r="M20">
        <v>1E-3</v>
      </c>
      <c r="N20">
        <v>0</v>
      </c>
      <c r="O20" t="s">
        <v>926</v>
      </c>
      <c r="P20">
        <v>7002</v>
      </c>
      <c r="Q20">
        <v>3</v>
      </c>
      <c r="R20" t="s">
        <v>421</v>
      </c>
    </row>
    <row r="21" spans="1:18" x14ac:dyDescent="0.3">
      <c r="A21" s="1" t="e">
        <f t="shared" si="0"/>
        <v>#N/A</v>
      </c>
      <c r="B21" s="1" t="e">
        <f t="shared" si="1"/>
        <v>#N/A</v>
      </c>
      <c r="C21">
        <v>7039</v>
      </c>
      <c r="D21" s="16" t="s">
        <v>667</v>
      </c>
      <c r="E21" t="s">
        <v>573</v>
      </c>
      <c r="F21">
        <f t="shared" si="2"/>
        <v>7038</v>
      </c>
      <c r="G21">
        <v>7004</v>
      </c>
      <c r="H21" t="s">
        <v>1018</v>
      </c>
      <c r="I21" t="s">
        <v>927</v>
      </c>
      <c r="J21">
        <v>20</v>
      </c>
      <c r="K21" t="s">
        <v>380</v>
      </c>
      <c r="L21" t="s">
        <v>381</v>
      </c>
      <c r="M21">
        <v>1E-3</v>
      </c>
      <c r="N21">
        <v>0</v>
      </c>
      <c r="O21" t="s">
        <v>927</v>
      </c>
      <c r="P21">
        <v>7004</v>
      </c>
      <c r="Q21">
        <v>3</v>
      </c>
      <c r="R21" t="s">
        <v>421</v>
      </c>
    </row>
    <row r="22" spans="1:18" x14ac:dyDescent="0.3">
      <c r="A22" s="1" t="b">
        <f t="shared" si="0"/>
        <v>0</v>
      </c>
      <c r="B22" s="1" t="b">
        <f t="shared" si="1"/>
        <v>0</v>
      </c>
      <c r="C22">
        <v>7041</v>
      </c>
      <c r="D22" s="16" t="s">
        <v>677</v>
      </c>
      <c r="E22" t="s">
        <v>584</v>
      </c>
      <c r="F22">
        <f t="shared" si="2"/>
        <v>7040</v>
      </c>
      <c r="G22">
        <v>7006</v>
      </c>
      <c r="H22" t="s">
        <v>1018</v>
      </c>
      <c r="I22" t="s">
        <v>928</v>
      </c>
      <c r="J22">
        <v>21</v>
      </c>
      <c r="K22" t="s">
        <v>380</v>
      </c>
      <c r="L22" t="s">
        <v>381</v>
      </c>
      <c r="M22">
        <v>1E-3</v>
      </c>
      <c r="N22">
        <v>0</v>
      </c>
      <c r="O22" t="s">
        <v>928</v>
      </c>
      <c r="P22">
        <v>7006</v>
      </c>
      <c r="Q22">
        <v>3</v>
      </c>
      <c r="R22" t="s">
        <v>421</v>
      </c>
    </row>
    <row r="23" spans="1:18" x14ac:dyDescent="0.3">
      <c r="A23" s="1" t="b">
        <f t="shared" si="0"/>
        <v>0</v>
      </c>
      <c r="B23" s="1" t="b">
        <f t="shared" si="1"/>
        <v>0</v>
      </c>
      <c r="C23">
        <v>7043</v>
      </c>
      <c r="D23" s="16" t="s">
        <v>678</v>
      </c>
      <c r="E23" t="s">
        <v>585</v>
      </c>
      <c r="F23">
        <f t="shared" si="2"/>
        <v>7042</v>
      </c>
    </row>
    <row r="24" spans="1:18" x14ac:dyDescent="0.3">
      <c r="A24" s="1" t="b">
        <f t="shared" si="0"/>
        <v>0</v>
      </c>
      <c r="B24" s="1" t="b">
        <f t="shared" si="1"/>
        <v>0</v>
      </c>
      <c r="C24">
        <v>7045</v>
      </c>
      <c r="D24" s="16" t="s">
        <v>679</v>
      </c>
      <c r="E24" t="s">
        <v>586</v>
      </c>
      <c r="F24">
        <f t="shared" si="2"/>
        <v>7044</v>
      </c>
    </row>
    <row r="25" spans="1:18" x14ac:dyDescent="0.3">
      <c r="A25" s="1" t="str">
        <f t="shared" si="0"/>
        <v>Phase A current</v>
      </c>
      <c r="B25" s="1">
        <f t="shared" si="1"/>
        <v>4</v>
      </c>
      <c r="C25">
        <v>7047</v>
      </c>
      <c r="D25" s="16" t="s">
        <v>680</v>
      </c>
      <c r="E25" t="s">
        <v>587</v>
      </c>
      <c r="F25">
        <f t="shared" si="2"/>
        <v>7046</v>
      </c>
    </row>
    <row r="26" spans="1:18" x14ac:dyDescent="0.3">
      <c r="A26" s="1" t="str">
        <f t="shared" si="0"/>
        <v>Phase B current</v>
      </c>
      <c r="B26" s="1">
        <f t="shared" si="1"/>
        <v>5</v>
      </c>
      <c r="C26">
        <v>7049</v>
      </c>
      <c r="D26" s="16" t="s">
        <v>681</v>
      </c>
      <c r="E26" t="s">
        <v>588</v>
      </c>
      <c r="F26">
        <f t="shared" si="2"/>
        <v>7048</v>
      </c>
    </row>
    <row r="27" spans="1:18" x14ac:dyDescent="0.3">
      <c r="A27" s="1" t="str">
        <f t="shared" si="0"/>
        <v>Phase C current</v>
      </c>
      <c r="B27" s="1">
        <f t="shared" si="1"/>
        <v>6</v>
      </c>
      <c r="C27">
        <v>7051</v>
      </c>
      <c r="D27" s="16" t="s">
        <v>682</v>
      </c>
      <c r="E27" t="s">
        <v>589</v>
      </c>
      <c r="F27">
        <f t="shared" si="2"/>
        <v>7050</v>
      </c>
    </row>
    <row r="28" spans="1:18" x14ac:dyDescent="0.3">
      <c r="A28" s="1" t="e">
        <f t="shared" si="0"/>
        <v>#N/A</v>
      </c>
      <c r="B28" s="1" t="e">
        <f t="shared" si="1"/>
        <v>#N/A</v>
      </c>
      <c r="C28">
        <v>7053</v>
      </c>
      <c r="D28" s="16" t="s">
        <v>683</v>
      </c>
      <c r="E28" t="s">
        <v>590</v>
      </c>
      <c r="F28">
        <f t="shared" si="2"/>
        <v>7052</v>
      </c>
    </row>
    <row r="29" spans="1:18" x14ac:dyDescent="0.3">
      <c r="A29" s="1" t="e">
        <f t="shared" si="0"/>
        <v>#N/A</v>
      </c>
      <c r="B29" s="1" t="e">
        <f t="shared" si="1"/>
        <v>#N/A</v>
      </c>
      <c r="C29">
        <v>7055</v>
      </c>
      <c r="D29" s="16" t="s">
        <v>684</v>
      </c>
      <c r="E29" t="s">
        <v>591</v>
      </c>
      <c r="F29">
        <f t="shared" si="2"/>
        <v>7054</v>
      </c>
    </row>
    <row r="30" spans="1:18" x14ac:dyDescent="0.3">
      <c r="A30" s="1" t="e">
        <f t="shared" si="0"/>
        <v>#N/A</v>
      </c>
      <c r="B30" s="1" t="e">
        <f t="shared" si="1"/>
        <v>#N/A</v>
      </c>
      <c r="C30">
        <v>7057</v>
      </c>
      <c r="D30" s="16" t="s">
        <v>685</v>
      </c>
      <c r="E30" t="s">
        <v>592</v>
      </c>
      <c r="F30">
        <f t="shared" si="2"/>
        <v>7056</v>
      </c>
    </row>
    <row r="31" spans="1:18" x14ac:dyDescent="0.3">
      <c r="A31" s="1" t="b">
        <f t="shared" si="0"/>
        <v>0</v>
      </c>
      <c r="B31" s="1" t="b">
        <f t="shared" si="1"/>
        <v>0</v>
      </c>
      <c r="C31">
        <v>7059</v>
      </c>
      <c r="D31" s="16" t="s">
        <v>695</v>
      </c>
      <c r="E31" t="s">
        <v>602</v>
      </c>
      <c r="F31">
        <f t="shared" si="2"/>
        <v>7058</v>
      </c>
    </row>
    <row r="32" spans="1:18" x14ac:dyDescent="0.3">
      <c r="A32" s="1" t="str">
        <f t="shared" si="0"/>
        <v>Power Factor</v>
      </c>
      <c r="B32" s="1">
        <f t="shared" si="1"/>
        <v>8</v>
      </c>
      <c r="C32">
        <v>7061</v>
      </c>
      <c r="D32" s="16" t="s">
        <v>698</v>
      </c>
      <c r="E32" t="s">
        <v>605</v>
      </c>
      <c r="F32">
        <f t="shared" si="2"/>
        <v>7060</v>
      </c>
    </row>
    <row r="33" spans="1:6" x14ac:dyDescent="0.3">
      <c r="A33" s="1" t="e">
        <f t="shared" si="0"/>
        <v>#N/A</v>
      </c>
      <c r="B33" s="1" t="e">
        <f t="shared" si="1"/>
        <v>#N/A</v>
      </c>
      <c r="C33">
        <v>7063</v>
      </c>
      <c r="D33" s="16" t="s">
        <v>1029</v>
      </c>
      <c r="E33" t="s">
        <v>1030</v>
      </c>
      <c r="F33">
        <f t="shared" si="2"/>
        <v>7062</v>
      </c>
    </row>
    <row r="34" spans="1:6" x14ac:dyDescent="0.3">
      <c r="A34" s="1" t="e">
        <f t="shared" ref="A34:A58" si="3">IF(VLOOKUP(F34,$G$2:$R$96,2,0)="Used",VLOOKUP(F34,$G$2:$R$96,3,0))</f>
        <v>#N/A</v>
      </c>
      <c r="B34" s="1" t="e">
        <f t="shared" si="1"/>
        <v>#N/A</v>
      </c>
      <c r="C34">
        <v>7069</v>
      </c>
      <c r="D34" s="16" t="s">
        <v>644</v>
      </c>
      <c r="E34" t="s">
        <v>1031</v>
      </c>
      <c r="F34">
        <f t="shared" si="2"/>
        <v>7068</v>
      </c>
    </row>
    <row r="35" spans="1:6" x14ac:dyDescent="0.3">
      <c r="A35" s="1" t="e">
        <f t="shared" si="3"/>
        <v>#N/A</v>
      </c>
      <c r="B35" s="1" t="e">
        <f t="shared" si="1"/>
        <v>#N/A</v>
      </c>
      <c r="C35">
        <v>7075</v>
      </c>
      <c r="D35" s="16" t="s">
        <v>639</v>
      </c>
      <c r="E35" t="s">
        <v>1032</v>
      </c>
      <c r="F35">
        <f t="shared" si="2"/>
        <v>7074</v>
      </c>
    </row>
    <row r="36" spans="1:6" x14ac:dyDescent="0.3">
      <c r="A36" s="1" t="e">
        <f t="shared" si="3"/>
        <v>#N/A</v>
      </c>
      <c r="B36" s="1" t="e">
        <f t="shared" si="1"/>
        <v>#N/A</v>
      </c>
      <c r="C36">
        <v>7077</v>
      </c>
      <c r="D36" s="16" t="s">
        <v>747</v>
      </c>
      <c r="E36" t="s">
        <v>1033</v>
      </c>
      <c r="F36">
        <f t="shared" si="2"/>
        <v>7076</v>
      </c>
    </row>
    <row r="37" spans="1:6" x14ac:dyDescent="0.3">
      <c r="A37" s="1" t="e">
        <f t="shared" si="3"/>
        <v>#N/A</v>
      </c>
      <c r="B37" s="1" t="e">
        <f t="shared" si="1"/>
        <v>#N/A</v>
      </c>
      <c r="C37">
        <v>7079</v>
      </c>
      <c r="D37" s="16" t="s">
        <v>744</v>
      </c>
      <c r="E37" t="s">
        <v>1034</v>
      </c>
      <c r="F37">
        <f t="shared" si="2"/>
        <v>7078</v>
      </c>
    </row>
    <row r="38" spans="1:6" x14ac:dyDescent="0.3">
      <c r="A38" s="1" t="e">
        <f t="shared" si="3"/>
        <v>#N/A</v>
      </c>
      <c r="B38" s="1" t="e">
        <f t="shared" si="1"/>
        <v>#N/A</v>
      </c>
      <c r="C38">
        <v>7081</v>
      </c>
      <c r="D38" s="16" t="s">
        <v>748</v>
      </c>
      <c r="E38" t="s">
        <v>1035</v>
      </c>
      <c r="F38">
        <f t="shared" si="2"/>
        <v>7080</v>
      </c>
    </row>
    <row r="39" spans="1:6" x14ac:dyDescent="0.3">
      <c r="A39" s="1" t="e">
        <f t="shared" si="3"/>
        <v>#N/A</v>
      </c>
      <c r="B39" s="1" t="e">
        <f t="shared" si="1"/>
        <v>#N/A</v>
      </c>
      <c r="C39">
        <v>7087</v>
      </c>
      <c r="D39" s="16" t="s">
        <v>749</v>
      </c>
      <c r="E39" t="s">
        <v>1036</v>
      </c>
      <c r="F39">
        <f t="shared" si="2"/>
        <v>7086</v>
      </c>
    </row>
    <row r="40" spans="1:6" x14ac:dyDescent="0.3">
      <c r="A40" s="1" t="e">
        <f t="shared" si="3"/>
        <v>#N/A</v>
      </c>
      <c r="B40" s="1" t="e">
        <f t="shared" si="1"/>
        <v>#N/A</v>
      </c>
      <c r="C40">
        <v>7093</v>
      </c>
      <c r="D40" s="16" t="s">
        <v>750</v>
      </c>
      <c r="E40" t="s">
        <v>1037</v>
      </c>
      <c r="F40">
        <f t="shared" si="2"/>
        <v>7092</v>
      </c>
    </row>
    <row r="41" spans="1:6" x14ac:dyDescent="0.3">
      <c r="A41" s="1" t="e">
        <f t="shared" si="3"/>
        <v>#N/A</v>
      </c>
      <c r="B41" s="1" t="e">
        <f t="shared" si="1"/>
        <v>#N/A</v>
      </c>
      <c r="C41">
        <v>7101</v>
      </c>
      <c r="D41" s="16" t="s">
        <v>751</v>
      </c>
      <c r="E41" t="s">
        <v>1038</v>
      </c>
      <c r="F41">
        <f t="shared" si="2"/>
        <v>7100</v>
      </c>
    </row>
    <row r="42" spans="1:6" x14ac:dyDescent="0.3">
      <c r="A42" s="1" t="str">
        <f t="shared" si="3"/>
        <v>Im Total kWh</v>
      </c>
      <c r="B42" s="1">
        <f t="shared" si="1"/>
        <v>11</v>
      </c>
      <c r="C42">
        <v>7115</v>
      </c>
      <c r="D42" s="16" t="s">
        <v>727</v>
      </c>
      <c r="E42" t="s">
        <v>554</v>
      </c>
      <c r="F42">
        <f t="shared" si="2"/>
        <v>7114</v>
      </c>
    </row>
    <row r="43" spans="1:6" x14ac:dyDescent="0.3">
      <c r="A43" s="1" t="str">
        <f t="shared" si="3"/>
        <v>Im Total kVArh</v>
      </c>
      <c r="B43" s="1">
        <f t="shared" si="1"/>
        <v>12</v>
      </c>
      <c r="C43">
        <v>7117</v>
      </c>
      <c r="D43" s="16" t="s">
        <v>705</v>
      </c>
      <c r="E43" t="s">
        <v>554</v>
      </c>
      <c r="F43">
        <f t="shared" si="2"/>
        <v>7116</v>
      </c>
    </row>
    <row r="44" spans="1:6" x14ac:dyDescent="0.3">
      <c r="A44" s="1" t="str">
        <f t="shared" si="3"/>
        <v>Active Power</v>
      </c>
      <c r="B44" s="1">
        <f t="shared" si="1"/>
        <v>13</v>
      </c>
      <c r="C44">
        <v>7119</v>
      </c>
      <c r="D44" s="16" t="s">
        <v>646</v>
      </c>
      <c r="E44" t="s">
        <v>474</v>
      </c>
      <c r="F44">
        <f t="shared" si="2"/>
        <v>7118</v>
      </c>
    </row>
    <row r="45" spans="1:6" x14ac:dyDescent="0.3">
      <c r="A45" s="1" t="str">
        <f t="shared" si="3"/>
        <v>Reactive Power</v>
      </c>
      <c r="B45" s="1">
        <f t="shared" si="1"/>
        <v>14</v>
      </c>
      <c r="C45">
        <v>7121</v>
      </c>
      <c r="D45" s="16" t="s">
        <v>647</v>
      </c>
      <c r="E45" t="s">
        <v>532</v>
      </c>
      <c r="F45">
        <f t="shared" si="2"/>
        <v>7120</v>
      </c>
    </row>
    <row r="46" spans="1:6" x14ac:dyDescent="0.3">
      <c r="A46" s="1" t="e">
        <f t="shared" si="3"/>
        <v>#N/A</v>
      </c>
      <c r="B46" s="1" t="e">
        <f>IF(VLOOKUP(F46,$G$2:$R$96,2,0)="Used",VLOOKUP(F46,$G$2:$R$96,4,0))</f>
        <v>#N/A</v>
      </c>
      <c r="C46">
        <v>7123</v>
      </c>
      <c r="D46" s="16" t="s">
        <v>668</v>
      </c>
      <c r="E46" t="s">
        <v>574</v>
      </c>
      <c r="F46">
        <f t="shared" si="2"/>
        <v>7122</v>
      </c>
    </row>
    <row r="47" spans="1:6" x14ac:dyDescent="0.3">
      <c r="A47" s="1" t="e">
        <f t="shared" si="3"/>
        <v>#N/A</v>
      </c>
      <c r="B47" s="1" t="e">
        <f t="shared" si="1"/>
        <v>#N/A</v>
      </c>
      <c r="C47">
        <v>7125</v>
      </c>
      <c r="D47" s="16" t="s">
        <v>669</v>
      </c>
      <c r="E47" t="s">
        <v>1039</v>
      </c>
      <c r="F47">
        <f t="shared" si="2"/>
        <v>7124</v>
      </c>
    </row>
    <row r="48" spans="1:6" x14ac:dyDescent="0.3">
      <c r="A48" s="1" t="e">
        <f t="shared" si="3"/>
        <v>#N/A</v>
      </c>
      <c r="B48" s="1" t="e">
        <f t="shared" si="1"/>
        <v>#N/A</v>
      </c>
      <c r="C48">
        <v>7127</v>
      </c>
      <c r="D48" s="16" t="s">
        <v>670</v>
      </c>
      <c r="E48" t="s">
        <v>1040</v>
      </c>
      <c r="F48">
        <f t="shared" si="2"/>
        <v>7126</v>
      </c>
    </row>
    <row r="49" spans="1:6" x14ac:dyDescent="0.3">
      <c r="A49" s="1" t="e">
        <f t="shared" si="3"/>
        <v>#N/A</v>
      </c>
      <c r="B49" s="1" t="e">
        <f t="shared" si="1"/>
        <v>#N/A</v>
      </c>
      <c r="C49">
        <v>7129</v>
      </c>
      <c r="D49" s="16" t="s">
        <v>671</v>
      </c>
      <c r="E49" t="s">
        <v>1041</v>
      </c>
      <c r="F49">
        <f t="shared" si="2"/>
        <v>7128</v>
      </c>
    </row>
    <row r="50" spans="1:6" x14ac:dyDescent="0.3">
      <c r="A50" s="1" t="e">
        <f t="shared" si="3"/>
        <v>#N/A</v>
      </c>
      <c r="B50" s="1" t="e">
        <f t="shared" si="1"/>
        <v>#N/A</v>
      </c>
      <c r="C50">
        <v>7131</v>
      </c>
      <c r="D50" s="16" t="s">
        <v>672</v>
      </c>
      <c r="E50" t="s">
        <v>1042</v>
      </c>
      <c r="F50">
        <f t="shared" si="2"/>
        <v>7130</v>
      </c>
    </row>
    <row r="51" spans="1:6" x14ac:dyDescent="0.3">
      <c r="A51" s="1" t="e">
        <f t="shared" si="3"/>
        <v>#N/A</v>
      </c>
      <c r="B51" s="1" t="e">
        <f t="shared" si="1"/>
        <v>#N/A</v>
      </c>
      <c r="C51">
        <v>7133</v>
      </c>
      <c r="D51" s="16" t="s">
        <v>673</v>
      </c>
      <c r="E51" t="s">
        <v>1043</v>
      </c>
      <c r="F51">
        <f t="shared" si="2"/>
        <v>7132</v>
      </c>
    </row>
    <row r="52" spans="1:6" x14ac:dyDescent="0.3">
      <c r="A52" s="1" t="e">
        <f t="shared" si="3"/>
        <v>#N/A</v>
      </c>
      <c r="B52" s="1" t="e">
        <f t="shared" si="1"/>
        <v>#N/A</v>
      </c>
      <c r="C52">
        <v>7135</v>
      </c>
      <c r="D52" s="16" t="s">
        <v>674</v>
      </c>
      <c r="E52" t="s">
        <v>1042</v>
      </c>
      <c r="F52">
        <f t="shared" si="2"/>
        <v>7134</v>
      </c>
    </row>
    <row r="53" spans="1:6" x14ac:dyDescent="0.3">
      <c r="A53" s="1" t="e">
        <f t="shared" si="3"/>
        <v>#N/A</v>
      </c>
      <c r="B53" s="1" t="e">
        <f t="shared" si="1"/>
        <v>#N/A</v>
      </c>
      <c r="C53">
        <v>7137</v>
      </c>
      <c r="D53" s="16" t="s">
        <v>675</v>
      </c>
      <c r="E53" t="s">
        <v>581</v>
      </c>
      <c r="F53">
        <f t="shared" si="2"/>
        <v>7136</v>
      </c>
    </row>
    <row r="54" spans="1:6" x14ac:dyDescent="0.3">
      <c r="A54" s="31" t="str">
        <f t="shared" si="3"/>
        <v>Peak Reactive Power</v>
      </c>
      <c r="B54" s="1">
        <f t="shared" si="1"/>
        <v>18</v>
      </c>
      <c r="C54">
        <v>7139</v>
      </c>
      <c r="D54" s="16" t="s">
        <v>728</v>
      </c>
      <c r="E54" t="s">
        <v>636</v>
      </c>
      <c r="F54">
        <f t="shared" si="2"/>
        <v>7138</v>
      </c>
    </row>
    <row r="55" spans="1:6" x14ac:dyDescent="0.3">
      <c r="A55" s="1" t="e">
        <f t="shared" si="3"/>
        <v>#N/A</v>
      </c>
      <c r="B55" s="1" t="e">
        <f t="shared" si="1"/>
        <v>#N/A</v>
      </c>
      <c r="C55">
        <v>7141</v>
      </c>
      <c r="D55" s="16" t="s">
        <v>730</v>
      </c>
      <c r="E55" t="s">
        <v>638</v>
      </c>
      <c r="F55">
        <f t="shared" si="2"/>
        <v>7140</v>
      </c>
    </row>
    <row r="56" spans="1:6" x14ac:dyDescent="0.3">
      <c r="A56" s="1" t="e">
        <f t="shared" si="3"/>
        <v>#N/A</v>
      </c>
      <c r="B56" s="1" t="e">
        <f t="shared" si="1"/>
        <v>#N/A</v>
      </c>
      <c r="C56">
        <v>7143</v>
      </c>
      <c r="D56" s="16" t="s">
        <v>731</v>
      </c>
      <c r="E56" t="s">
        <v>1044</v>
      </c>
      <c r="F56">
        <f t="shared" si="2"/>
        <v>7142</v>
      </c>
    </row>
    <row r="57" spans="1:6" x14ac:dyDescent="0.3">
      <c r="A57" s="1" t="e">
        <f t="shared" si="3"/>
        <v>#N/A</v>
      </c>
      <c r="B57" s="1" t="e">
        <f t="shared" si="1"/>
        <v>#N/A</v>
      </c>
      <c r="C57">
        <v>7147</v>
      </c>
      <c r="D57" s="16" t="s">
        <v>732</v>
      </c>
      <c r="E57" t="s">
        <v>1045</v>
      </c>
      <c r="F57">
        <f t="shared" si="2"/>
        <v>7146</v>
      </c>
    </row>
    <row r="58" spans="1:6" x14ac:dyDescent="0.3">
      <c r="A58" s="1" t="e">
        <f t="shared" si="3"/>
        <v>#N/A</v>
      </c>
      <c r="B58" s="1" t="e">
        <f t="shared" si="1"/>
        <v>#N/A</v>
      </c>
      <c r="C58">
        <v>7151</v>
      </c>
      <c r="D58" s="16" t="s">
        <v>733</v>
      </c>
      <c r="E58" t="s">
        <v>1046</v>
      </c>
      <c r="F58">
        <f t="shared" si="2"/>
        <v>7150</v>
      </c>
    </row>
    <row r="59" spans="1:6" x14ac:dyDescent="0.3">
      <c r="A59" s="1"/>
      <c r="B59" s="1"/>
      <c r="D59" s="16"/>
    </row>
    <row r="60" spans="1:6" x14ac:dyDescent="0.3">
      <c r="A60" s="1"/>
      <c r="B60" s="1"/>
      <c r="D60" s="16"/>
    </row>
    <row r="61" spans="1:6" x14ac:dyDescent="0.3">
      <c r="A61" s="1"/>
      <c r="B61" s="1"/>
      <c r="D61" s="16"/>
    </row>
    <row r="62" spans="1:6" x14ac:dyDescent="0.3">
      <c r="A62" s="1"/>
      <c r="B62" s="1"/>
      <c r="D62" s="16"/>
    </row>
    <row r="63" spans="1:6" x14ac:dyDescent="0.3">
      <c r="A63" s="1"/>
      <c r="B63" s="1"/>
      <c r="D63" s="16"/>
    </row>
    <row r="64" spans="1:6" x14ac:dyDescent="0.3">
      <c r="A64" s="1"/>
      <c r="B64" s="1"/>
      <c r="D64" s="16"/>
    </row>
    <row r="65" spans="1:4" x14ac:dyDescent="0.3">
      <c r="A65" s="1"/>
      <c r="B65" s="1"/>
      <c r="D65" s="16"/>
    </row>
    <row r="66" spans="1:4" x14ac:dyDescent="0.3">
      <c r="A66" s="1"/>
      <c r="B66" s="1"/>
      <c r="D66" s="16"/>
    </row>
    <row r="67" spans="1:4" x14ac:dyDescent="0.3">
      <c r="A67" s="1"/>
      <c r="B67" s="1"/>
      <c r="D67" s="16"/>
    </row>
    <row r="68" spans="1:4" x14ac:dyDescent="0.3">
      <c r="A68" s="1"/>
      <c r="B68" s="1"/>
      <c r="D68" s="16"/>
    </row>
    <row r="69" spans="1:4" x14ac:dyDescent="0.3">
      <c r="A69" s="1"/>
      <c r="B69" s="1"/>
      <c r="D69" s="16"/>
    </row>
    <row r="70" spans="1:4" x14ac:dyDescent="0.3">
      <c r="A70" s="1"/>
      <c r="B70" s="1"/>
      <c r="D70" s="16"/>
    </row>
    <row r="71" spans="1:4" x14ac:dyDescent="0.3">
      <c r="A71" s="1"/>
      <c r="B71" s="1"/>
      <c r="D71" s="16"/>
    </row>
    <row r="72" spans="1:4" x14ac:dyDescent="0.3">
      <c r="A72" s="1"/>
      <c r="B72" s="1"/>
      <c r="D72" s="16"/>
    </row>
    <row r="73" spans="1:4" x14ac:dyDescent="0.3">
      <c r="A73" s="1"/>
      <c r="B73" s="1"/>
      <c r="D73" s="16"/>
    </row>
    <row r="74" spans="1:4" x14ac:dyDescent="0.3">
      <c r="A74" s="1"/>
      <c r="B74" s="1"/>
      <c r="D74" s="16"/>
    </row>
    <row r="75" spans="1:4" x14ac:dyDescent="0.3">
      <c r="A75" s="1"/>
      <c r="B75" s="1"/>
      <c r="D75" s="16"/>
    </row>
    <row r="76" spans="1:4" x14ac:dyDescent="0.3">
      <c r="A76" s="1"/>
      <c r="B76" s="1"/>
      <c r="D76" s="16"/>
    </row>
    <row r="77" spans="1:4" x14ac:dyDescent="0.3">
      <c r="A77" s="1"/>
      <c r="B77" s="1"/>
      <c r="D77" s="16"/>
    </row>
    <row r="78" spans="1:4" x14ac:dyDescent="0.3">
      <c r="A78" s="1"/>
      <c r="B78" s="1"/>
      <c r="D78" s="16"/>
    </row>
    <row r="79" spans="1:4" x14ac:dyDescent="0.3">
      <c r="A79" s="1"/>
      <c r="B79" s="1"/>
      <c r="D79" s="16"/>
    </row>
    <row r="80" spans="1:4" x14ac:dyDescent="0.3">
      <c r="A80" s="1"/>
      <c r="B80" s="1"/>
      <c r="D80" s="16"/>
    </row>
    <row r="81" spans="1:4" x14ac:dyDescent="0.3">
      <c r="A81" s="1"/>
      <c r="B81" s="1"/>
      <c r="D81" s="16"/>
    </row>
    <row r="82" spans="1:4" x14ac:dyDescent="0.3">
      <c r="A82" s="1"/>
      <c r="B82" s="1"/>
      <c r="D82" s="16"/>
    </row>
    <row r="83" spans="1:4" x14ac:dyDescent="0.3">
      <c r="A83" s="1"/>
      <c r="B83" s="1"/>
      <c r="D83" s="16"/>
    </row>
    <row r="84" spans="1:4" x14ac:dyDescent="0.3">
      <c r="A84" s="1"/>
      <c r="B84" s="1"/>
      <c r="D84" s="16"/>
    </row>
    <row r="85" spans="1:4" x14ac:dyDescent="0.3">
      <c r="A85" s="1"/>
      <c r="B85" s="1"/>
      <c r="D85" s="16"/>
    </row>
    <row r="86" spans="1:4" x14ac:dyDescent="0.3">
      <c r="A86" s="1"/>
      <c r="B86" s="1"/>
      <c r="D86" s="16"/>
    </row>
    <row r="87" spans="1:4" x14ac:dyDescent="0.3">
      <c r="A87" s="1"/>
      <c r="B87" s="1"/>
      <c r="D87" s="16"/>
    </row>
    <row r="88" spans="1:4" x14ac:dyDescent="0.3">
      <c r="A88" s="1"/>
      <c r="B88" s="1"/>
      <c r="D88" s="16"/>
    </row>
    <row r="89" spans="1:4" x14ac:dyDescent="0.3">
      <c r="A89" s="1"/>
      <c r="B89" s="1"/>
      <c r="D89" s="16"/>
    </row>
    <row r="90" spans="1:4" x14ac:dyDescent="0.3">
      <c r="A90" s="1"/>
      <c r="B90" s="1"/>
      <c r="D90" s="16"/>
    </row>
    <row r="91" spans="1:4" x14ac:dyDescent="0.3">
      <c r="A91" s="1"/>
      <c r="B91" s="1"/>
      <c r="D91" s="16"/>
    </row>
    <row r="92" spans="1:4" x14ac:dyDescent="0.3">
      <c r="A92" s="1"/>
      <c r="B92" s="1"/>
      <c r="D92" s="16"/>
    </row>
    <row r="93" spans="1:4" x14ac:dyDescent="0.3">
      <c r="A93" s="1"/>
      <c r="B93" s="1"/>
      <c r="D93" s="16"/>
    </row>
    <row r="94" spans="1:4" x14ac:dyDescent="0.3">
      <c r="A94" s="1"/>
      <c r="B94" s="1"/>
      <c r="D94" s="16"/>
    </row>
    <row r="95" spans="1:4" x14ac:dyDescent="0.3">
      <c r="A95" s="1"/>
      <c r="B95" s="1"/>
      <c r="D95" s="16"/>
    </row>
    <row r="96" spans="1:4" x14ac:dyDescent="0.3">
      <c r="A96" s="1"/>
      <c r="B96" s="1"/>
      <c r="D96" s="16"/>
    </row>
    <row r="97" spans="1:4" x14ac:dyDescent="0.3">
      <c r="A97" s="1"/>
      <c r="B97" s="1"/>
      <c r="D97" s="16"/>
    </row>
    <row r="98" spans="1:4" x14ac:dyDescent="0.3">
      <c r="A98" s="1"/>
      <c r="B98" s="1"/>
      <c r="D98" s="16"/>
    </row>
  </sheetData>
  <mergeCells count="2">
    <mergeCell ref="C1:F1"/>
    <mergeCell ref="G1:R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375A-6AF0-436A-91E7-19D6EF442017}">
  <dimension ref="A1:R101"/>
  <sheetViews>
    <sheetView topLeftCell="A55" workbookViewId="0">
      <selection activeCell="B2" sqref="B2:B99"/>
    </sheetView>
  </sheetViews>
  <sheetFormatPr defaultRowHeight="16.5" x14ac:dyDescent="0.3"/>
  <cols>
    <col min="1" max="1" width="15.125" bestFit="1" customWidth="1"/>
    <col min="2" max="2" width="15.125" customWidth="1"/>
    <col min="5" max="5" width="18.25" bestFit="1" customWidth="1"/>
    <col min="9" max="9" width="15.6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IF(VLOOKUP(F2,$G$2:$R$96,2,0)="Used",VLOOKUP(F2,$G$2:$R$96,3,0))</f>
        <v>Inst_kW</v>
      </c>
      <c r="B2" s="1">
        <f>IF(VLOOKUP(F2,$G$2:$R$96,2,0)="Used",VLOOKUP(F2,$G$2:$R$96,4,0))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IF(VLOOKUP(F3,$G$2:$R$96,2,0)="Used",VLOOKUP(F3,$G$2:$R$96,3,0))</f>
        <v>Inst_kVAr</v>
      </c>
      <c r="B3" s="1">
        <f t="shared" ref="B3:B66" si="1">IF(VLOOKUP(F3,$G$2:$R$96,2,0)="Used",VLOOKUP(F3,$G$2:$R$96,4,0))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 s="1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 s="1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 s="1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 s="1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s="1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s="1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s="1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s="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s="1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s="1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 s="1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s="1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s="1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s="1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s="1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s="1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s="1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s="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s="1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s="1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str">
        <f t="shared" si="0"/>
        <v>Ex_BT_Total_kWh</v>
      </c>
      <c r="B24" s="1">
        <f t="shared" si="1"/>
        <v>22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H24" t="s">
        <v>1018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str">
        <f t="shared" si="0"/>
        <v>Ex_BT_kWhA</v>
      </c>
      <c r="B25" s="1">
        <f t="shared" si="1"/>
        <v>23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H25" t="s">
        <v>1018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str">
        <f t="shared" si="0"/>
        <v>Ex_BT_kWhB</v>
      </c>
      <c r="B26" s="1">
        <f t="shared" si="1"/>
        <v>24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H26" t="s">
        <v>1018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str">
        <f t="shared" si="0"/>
        <v>Ex_BT_kWhC</v>
      </c>
      <c r="B27" s="1">
        <f t="shared" si="1"/>
        <v>25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H27" t="s">
        <v>1018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s="1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s="1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s="1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s="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s="1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s="1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s="1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s="1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s="1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str">
        <f t="shared" si="0"/>
        <v>Ph_A_Volt</v>
      </c>
      <c r="B37" s="1">
        <f t="shared" si="1"/>
        <v>35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H37" t="s">
        <v>1018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str">
        <f t="shared" si="0"/>
        <v>Ph_B_Volt</v>
      </c>
      <c r="B38" s="1">
        <f t="shared" si="1"/>
        <v>36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H38" t="s">
        <v>1018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str">
        <f t="shared" si="0"/>
        <v>Ph_C_Volt</v>
      </c>
      <c r="B39" s="1">
        <f t="shared" si="1"/>
        <v>37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H39" t="s">
        <v>1018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str">
        <f t="shared" si="0"/>
        <v>Ph_A_Curr</v>
      </c>
      <c r="B40" s="1">
        <f t="shared" si="1"/>
        <v>38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H40" t="s">
        <v>1018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str">
        <f t="shared" si="0"/>
        <v>Ph_B_Curr</v>
      </c>
      <c r="B41" s="1">
        <f t="shared" si="1"/>
        <v>39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H41" t="s">
        <v>1018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str">
        <f t="shared" si="0"/>
        <v>Ph_C_Curr</v>
      </c>
      <c r="B42" s="1">
        <f t="shared" si="1"/>
        <v>40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H42" t="s">
        <v>1018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s="1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s="1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s="1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s="1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s="1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s="1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s="1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s="1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s="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s="1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s="1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s="1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s="1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s="1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s="1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s="1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 s="1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 s="1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 s="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s="1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s="1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s="1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 s="1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s="1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9" si="3">IF(VLOOKUP(F67,$G$2:$R$96,2,0)="Used",VLOOKUP(F67,$G$2:$R$96,3,0))</f>
        <v>0</v>
      </c>
      <c r="B67" s="1" t="b">
        <f t="shared" ref="B67:B99" si="4">IF(VLOOKUP(F67,$G$2:$R$96,2,0)="Used",VLOOKUP(F67,$G$2:$R$96,4,0))</f>
        <v>0</v>
      </c>
      <c r="C67">
        <v>7131</v>
      </c>
      <c r="D67" s="16" t="s">
        <v>707</v>
      </c>
      <c r="E67" t="s">
        <v>614</v>
      </c>
      <c r="F67">
        <f t="shared" ref="F67:F99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s="1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s="1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s="1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s="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s="1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s="1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s="1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s="1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s="1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s="1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s="1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s="1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s="1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s="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s="1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s="1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s="1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s="1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s="1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s="1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Im_total_kWh</v>
      </c>
      <c r="B88" s="1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t="e">
        <f t="shared" si="3"/>
        <v>#N/A</v>
      </c>
      <c r="B89" s="1" t="e">
        <f t="shared" si="4"/>
        <v>#N/A</v>
      </c>
      <c r="C89">
        <v>7175</v>
      </c>
      <c r="D89" s="16" t="s">
        <v>728</v>
      </c>
      <c r="E89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s="1" t="e">
        <f t="shared" si="4"/>
        <v>#N/A</v>
      </c>
      <c r="C90">
        <v>7250</v>
      </c>
      <c r="D90" s="16" t="s">
        <v>729</v>
      </c>
      <c r="E90" t="s">
        <v>637</v>
      </c>
      <c r="F90">
        <f t="shared" si="5"/>
        <v>7249</v>
      </c>
    </row>
    <row r="91" spans="1:18" x14ac:dyDescent="0.3">
      <c r="A91" t="b">
        <f t="shared" si="3"/>
        <v>0</v>
      </c>
      <c r="B91" s="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</row>
    <row r="92" spans="1:18" x14ac:dyDescent="0.3">
      <c r="A92" t="e">
        <f t="shared" si="3"/>
        <v>#N/A</v>
      </c>
      <c r="B92" s="1" t="e">
        <f t="shared" si="4"/>
        <v>#N/A</v>
      </c>
      <c r="C92">
        <v>7183</v>
      </c>
      <c r="D92" s="16" t="s">
        <v>639</v>
      </c>
      <c r="E92" t="s">
        <v>640</v>
      </c>
      <c r="F92">
        <f t="shared" si="5"/>
        <v>7182</v>
      </c>
    </row>
    <row r="93" spans="1:18" x14ac:dyDescent="0.3">
      <c r="A93" t="e">
        <f t="shared" si="3"/>
        <v>#N/A</v>
      </c>
      <c r="B93" s="1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</row>
    <row r="94" spans="1:18" x14ac:dyDescent="0.3">
      <c r="A94" t="e">
        <f t="shared" si="3"/>
        <v>#N/A</v>
      </c>
      <c r="B94" s="1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s="1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  <row r="96" spans="1:18" x14ac:dyDescent="0.3">
      <c r="A96" t="e">
        <f t="shared" si="3"/>
        <v>#N/A</v>
      </c>
      <c r="B96" s="1" t="e">
        <f t="shared" si="4"/>
        <v>#N/A</v>
      </c>
      <c r="C96">
        <v>7207</v>
      </c>
      <c r="D96" s="16" t="s">
        <v>1070</v>
      </c>
      <c r="E96" t="s">
        <v>1071</v>
      </c>
      <c r="F96">
        <f t="shared" si="5"/>
        <v>7206</v>
      </c>
    </row>
    <row r="97" spans="1:6" x14ac:dyDescent="0.3">
      <c r="A97" t="e">
        <f t="shared" si="3"/>
        <v>#N/A</v>
      </c>
      <c r="B97" s="1" t="e">
        <f t="shared" si="4"/>
        <v>#N/A</v>
      </c>
      <c r="C97">
        <v>7209</v>
      </c>
      <c r="D97" s="16" t="s">
        <v>639</v>
      </c>
      <c r="E97" t="s">
        <v>1072</v>
      </c>
      <c r="F97">
        <f t="shared" si="5"/>
        <v>7208</v>
      </c>
    </row>
    <row r="98" spans="1:6" x14ac:dyDescent="0.3">
      <c r="A98" t="e">
        <f t="shared" si="3"/>
        <v>#N/A</v>
      </c>
      <c r="B98" s="1" t="e">
        <f t="shared" si="4"/>
        <v>#N/A</v>
      </c>
      <c r="C98">
        <v>7300</v>
      </c>
      <c r="D98" s="16" t="s">
        <v>1029</v>
      </c>
      <c r="E98" t="s">
        <v>1073</v>
      </c>
      <c r="F98">
        <f t="shared" si="5"/>
        <v>7299</v>
      </c>
    </row>
    <row r="99" spans="1:6" x14ac:dyDescent="0.3">
      <c r="A99" t="e">
        <f t="shared" si="3"/>
        <v>#N/A</v>
      </c>
      <c r="B99" s="1" t="e">
        <f t="shared" si="4"/>
        <v>#N/A</v>
      </c>
      <c r="C99">
        <v>7400</v>
      </c>
      <c r="D99" s="16" t="s">
        <v>644</v>
      </c>
      <c r="E99" t="s">
        <v>1074</v>
      </c>
      <c r="F99">
        <f t="shared" si="5"/>
        <v>7399</v>
      </c>
    </row>
    <row r="101" spans="1:6" x14ac:dyDescent="0.3">
      <c r="C101" t="s">
        <v>1047</v>
      </c>
      <c r="D101" s="16" t="s">
        <v>1048</v>
      </c>
      <c r="E101" t="s">
        <v>1049</v>
      </c>
      <c r="F101" t="s">
        <v>1050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BC1C-F7F5-4EF1-85E7-FD8DCA2E42AD}">
  <dimension ref="A1:R95"/>
  <sheetViews>
    <sheetView topLeftCell="A70" workbookViewId="0">
      <selection activeCell="B2" sqref="B2:B95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9" max="9" width="15.62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str">
        <f t="shared" si="0"/>
        <v>Ex_BT_Total_kWh</v>
      </c>
      <c r="B24">
        <f t="shared" si="1"/>
        <v>22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H24" t="s">
        <v>1018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str">
        <f t="shared" si="0"/>
        <v>Ex_BT_kWhA</v>
      </c>
      <c r="B25">
        <f t="shared" si="1"/>
        <v>23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H25" t="s">
        <v>1018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str">
        <f t="shared" si="0"/>
        <v>Ex_BT_kWhB</v>
      </c>
      <c r="B26">
        <f t="shared" si="1"/>
        <v>24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H26" t="s">
        <v>1018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str">
        <f t="shared" si="0"/>
        <v>Ex_BT_kWhC</v>
      </c>
      <c r="B27">
        <f t="shared" si="1"/>
        <v>25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H27" t="s">
        <v>1018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t="b">
        <f t="shared" ref="B67:B95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Im_total_kWh</v>
      </c>
      <c r="B88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t="b">
        <f t="shared" si="3"/>
        <v>0</v>
      </c>
      <c r="B89" t="b">
        <f t="shared" si="4"/>
        <v>0</v>
      </c>
      <c r="C89">
        <v>7175</v>
      </c>
      <c r="D89" s="16" t="s">
        <v>728</v>
      </c>
      <c r="E89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  <c r="G90">
        <v>7174</v>
      </c>
      <c r="I90" t="s">
        <v>636</v>
      </c>
      <c r="J90">
        <v>88</v>
      </c>
      <c r="K90" t="s">
        <v>380</v>
      </c>
      <c r="L90" t="s">
        <v>381</v>
      </c>
      <c r="M90">
        <v>1E-3</v>
      </c>
      <c r="N90">
        <v>0</v>
      </c>
      <c r="O90" t="s">
        <v>636</v>
      </c>
      <c r="P90">
        <v>7174</v>
      </c>
      <c r="Q90">
        <v>3</v>
      </c>
      <c r="R90" t="s">
        <v>421</v>
      </c>
    </row>
    <row r="91" spans="1:18" x14ac:dyDescent="0.3">
      <c r="A91" t="b">
        <f t="shared" si="3"/>
        <v>0</v>
      </c>
      <c r="B9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  <c r="G91">
        <v>7182</v>
      </c>
      <c r="I91" t="s">
        <v>1013</v>
      </c>
      <c r="J91">
        <v>89</v>
      </c>
      <c r="K91" t="s">
        <v>380</v>
      </c>
      <c r="L91" t="s">
        <v>381</v>
      </c>
      <c r="M91">
        <v>1</v>
      </c>
      <c r="N91">
        <v>0</v>
      </c>
      <c r="O91" t="s">
        <v>1013</v>
      </c>
      <c r="P91">
        <v>7182</v>
      </c>
      <c r="Q91">
        <v>3</v>
      </c>
      <c r="R91" t="s">
        <v>395</v>
      </c>
    </row>
    <row r="92" spans="1:18" x14ac:dyDescent="0.3">
      <c r="A92" t="b">
        <f t="shared" si="3"/>
        <v>0</v>
      </c>
      <c r="B92" t="b">
        <f t="shared" si="4"/>
        <v>0</v>
      </c>
      <c r="C92">
        <v>7183</v>
      </c>
      <c r="D92" s="16" t="s">
        <v>639</v>
      </c>
      <c r="E92" t="s">
        <v>640</v>
      </c>
      <c r="F92">
        <f t="shared" si="5"/>
        <v>7182</v>
      </c>
    </row>
    <row r="93" spans="1:18" x14ac:dyDescent="0.3">
      <c r="A93" t="e">
        <f t="shared" si="3"/>
        <v>#N/A</v>
      </c>
      <c r="B93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</row>
    <row r="94" spans="1:18" x14ac:dyDescent="0.3">
      <c r="A94" t="e">
        <f t="shared" si="3"/>
        <v>#N/A</v>
      </c>
      <c r="B94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68CA-3885-4B1F-9835-865F9CE41591}">
  <dimension ref="A1:R95"/>
  <sheetViews>
    <sheetView topLeftCell="A79" workbookViewId="0">
      <selection activeCell="B2" sqref="B2:B95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str">
        <f t="shared" si="0"/>
        <v>Ex_BT_Total_kWh</v>
      </c>
      <c r="B24">
        <f t="shared" si="1"/>
        <v>22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H24" t="s">
        <v>1018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str">
        <f t="shared" si="0"/>
        <v>Ex_BT_kWhA</v>
      </c>
      <c r="B25">
        <f t="shared" si="1"/>
        <v>23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H25" t="s">
        <v>1018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str">
        <f t="shared" si="0"/>
        <v>Ex_BT_kWhB</v>
      </c>
      <c r="B26">
        <f t="shared" si="1"/>
        <v>24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H26" t="s">
        <v>1018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str">
        <f t="shared" si="0"/>
        <v>Ex_BT_kWhC</v>
      </c>
      <c r="B27">
        <f t="shared" si="1"/>
        <v>25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H27" t="s">
        <v>1018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t="b">
        <f t="shared" ref="B67:B95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Im_total_kWh</v>
      </c>
      <c r="B88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t="e">
        <f t="shared" si="3"/>
        <v>#N/A</v>
      </c>
      <c r="B89" t="e">
        <f t="shared" si="4"/>
        <v>#N/A</v>
      </c>
      <c r="C89">
        <v>7175</v>
      </c>
      <c r="D89" s="16" t="s">
        <v>728</v>
      </c>
      <c r="E89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</row>
    <row r="91" spans="1:18" x14ac:dyDescent="0.3">
      <c r="A91" t="str">
        <f>IF(VLOOKUP(F91,$G$2:$R$95,2,0)="Used",VLOOKUP(F91,$G$2:$R$95,3,0),"")</f>
        <v/>
      </c>
      <c r="B9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</row>
    <row r="92" spans="1:18" x14ac:dyDescent="0.3">
      <c r="A92" t="e">
        <f t="shared" si="3"/>
        <v>#N/A</v>
      </c>
      <c r="B92" t="e">
        <f t="shared" si="4"/>
        <v>#N/A</v>
      </c>
      <c r="C92">
        <v>7183</v>
      </c>
      <c r="D92" s="16" t="s">
        <v>639</v>
      </c>
      <c r="E92" t="s">
        <v>640</v>
      </c>
      <c r="F92">
        <f t="shared" si="5"/>
        <v>7182</v>
      </c>
    </row>
    <row r="93" spans="1:18" x14ac:dyDescent="0.3">
      <c r="A93" t="e">
        <f t="shared" si="3"/>
        <v>#N/A</v>
      </c>
      <c r="B93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</row>
    <row r="94" spans="1:18" x14ac:dyDescent="0.3">
      <c r="A94" t="e">
        <f t="shared" si="3"/>
        <v>#N/A</v>
      </c>
      <c r="B94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E4-7372-447E-96DC-8B60C4AC8A00}">
  <dimension ref="A1:R95"/>
  <sheetViews>
    <sheetView topLeftCell="A70" workbookViewId="0">
      <selection activeCell="B2" sqref="B2:B95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9" max="9" width="15.62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str">
        <f t="shared" si="0"/>
        <v>Ex_BT_Total_kWh</v>
      </c>
      <c r="B24">
        <f t="shared" si="1"/>
        <v>22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H24" t="s">
        <v>1018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str">
        <f t="shared" si="0"/>
        <v>Ex_BT_kWhA</v>
      </c>
      <c r="B25">
        <f t="shared" si="1"/>
        <v>23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H25" t="s">
        <v>1018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str">
        <f t="shared" si="0"/>
        <v>Ex_BT_kWhB</v>
      </c>
      <c r="B26">
        <f t="shared" si="1"/>
        <v>24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H26" t="s">
        <v>1018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str">
        <f t="shared" si="0"/>
        <v>Ex_BT_kWhC</v>
      </c>
      <c r="B27">
        <f t="shared" si="1"/>
        <v>25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H27" t="s">
        <v>1018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t="b">
        <f t="shared" ref="B67:B95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Im_total_kWh</v>
      </c>
      <c r="B88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t="e">
        <f t="shared" si="3"/>
        <v>#N/A</v>
      </c>
      <c r="B89" t="e">
        <f t="shared" si="4"/>
        <v>#N/A</v>
      </c>
      <c r="C89">
        <v>7175</v>
      </c>
      <c r="D89" s="16" t="s">
        <v>728</v>
      </c>
      <c r="E89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</row>
    <row r="91" spans="1:18" x14ac:dyDescent="0.3">
      <c r="A91" t="b">
        <f t="shared" si="3"/>
        <v>0</v>
      </c>
      <c r="B9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</row>
    <row r="92" spans="1:18" x14ac:dyDescent="0.3">
      <c r="A92" t="e">
        <f t="shared" si="3"/>
        <v>#N/A</v>
      </c>
      <c r="B92" t="e">
        <f t="shared" si="4"/>
        <v>#N/A</v>
      </c>
      <c r="C92">
        <v>7183</v>
      </c>
      <c r="D92" s="16" t="s">
        <v>639</v>
      </c>
      <c r="E92" t="s">
        <v>640</v>
      </c>
      <c r="F92">
        <f t="shared" si="5"/>
        <v>7182</v>
      </c>
    </row>
    <row r="93" spans="1:18" x14ac:dyDescent="0.3">
      <c r="A93" t="e">
        <f t="shared" si="3"/>
        <v>#N/A</v>
      </c>
      <c r="B93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</row>
    <row r="94" spans="1:18" x14ac:dyDescent="0.3">
      <c r="A94" t="e">
        <f t="shared" si="3"/>
        <v>#N/A</v>
      </c>
      <c r="B94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BA8A-6E28-4E29-96B0-6F59327B0E2D}">
  <dimension ref="A1:R95"/>
  <sheetViews>
    <sheetView topLeftCell="A16" workbookViewId="0">
      <selection activeCell="H18" sqref="H18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9" max="9" width="15.62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str">
        <f t="shared" si="0"/>
        <v>Ex_BT_Total_kWh</v>
      </c>
      <c r="B24">
        <f t="shared" si="1"/>
        <v>22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H24" t="s">
        <v>1018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str">
        <f t="shared" si="0"/>
        <v>Ex_BT_kWhA</v>
      </c>
      <c r="B25">
        <f t="shared" si="1"/>
        <v>23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H25" t="s">
        <v>1018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str">
        <f t="shared" si="0"/>
        <v>Ex_BT_kWhB</v>
      </c>
      <c r="B26">
        <f t="shared" si="1"/>
        <v>24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H26" t="s">
        <v>1018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str">
        <f t="shared" si="0"/>
        <v>Ex_BT_kWhC</v>
      </c>
      <c r="B27">
        <f t="shared" si="1"/>
        <v>25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H27" t="s">
        <v>1018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t="b">
        <f t="shared" ref="B67:B95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Im_total_kWh</v>
      </c>
      <c r="B88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t="e">
        <f t="shared" si="3"/>
        <v>#N/A</v>
      </c>
      <c r="B89" t="e">
        <f t="shared" si="4"/>
        <v>#N/A</v>
      </c>
      <c r="C89" s="30">
        <v>7175</v>
      </c>
      <c r="D89" s="32" t="s">
        <v>728</v>
      </c>
      <c r="E89" s="30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</row>
    <row r="91" spans="1:18" x14ac:dyDescent="0.3">
      <c r="A91" t="b">
        <f t="shared" si="3"/>
        <v>0</v>
      </c>
      <c r="B9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</row>
    <row r="92" spans="1:18" x14ac:dyDescent="0.3">
      <c r="A92" t="e">
        <f t="shared" si="3"/>
        <v>#N/A</v>
      </c>
      <c r="B92" t="e">
        <f t="shared" si="4"/>
        <v>#N/A</v>
      </c>
      <c r="C92">
        <v>7183</v>
      </c>
      <c r="D92" s="16" t="s">
        <v>639</v>
      </c>
      <c r="E92" t="s">
        <v>640</v>
      </c>
      <c r="F92">
        <f t="shared" si="5"/>
        <v>7182</v>
      </c>
    </row>
    <row r="93" spans="1:18" x14ac:dyDescent="0.3">
      <c r="A93" t="e">
        <f t="shared" si="3"/>
        <v>#N/A</v>
      </c>
      <c r="B93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</row>
    <row r="94" spans="1:18" x14ac:dyDescent="0.3">
      <c r="A94" t="e">
        <f t="shared" si="3"/>
        <v>#N/A</v>
      </c>
      <c r="B94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8B34-FED0-4BD9-ABE7-FDDBCD1EA715}">
  <dimension ref="A1:R95"/>
  <sheetViews>
    <sheetView workbookViewId="0">
      <selection activeCell="B2" sqref="B2:B95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9" max="9" width="15.62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Ex_Total_kWh</v>
      </c>
      <c r="B4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Ex_kWh_RateA</v>
      </c>
      <c r="B5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Ex_kWh_RateB</v>
      </c>
      <c r="B6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Ex_kWh_RateC</v>
      </c>
      <c r="B7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Ex_Total_kVArh</v>
      </c>
      <c r="B14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t="str">
        <f t="shared" si="0"/>
        <v>Ex_BT_Total_kWh</v>
      </c>
      <c r="B24">
        <f t="shared" si="1"/>
        <v>22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H24" t="s">
        <v>1018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t="str">
        <f t="shared" si="0"/>
        <v>Ex_BT_kWhA</v>
      </c>
      <c r="B25">
        <f t="shared" si="1"/>
        <v>23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H25" t="s">
        <v>1018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t="str">
        <f t="shared" si="0"/>
        <v>Ex_BT_kWhB</v>
      </c>
      <c r="B26">
        <f t="shared" si="1"/>
        <v>24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H26" t="s">
        <v>1018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t="str">
        <f t="shared" si="0"/>
        <v>Ex_BT_kWhC</v>
      </c>
      <c r="B27">
        <f t="shared" si="1"/>
        <v>25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H27" t="s">
        <v>1018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Im_kWh_RateA</v>
      </c>
      <c r="B59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Im_kWh_RateB</v>
      </c>
      <c r="B60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Im_kWh_RateC</v>
      </c>
      <c r="B6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Im_Total_kVArh</v>
      </c>
      <c r="B65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t="b">
        <f t="shared" ref="B67:B95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t="b">
        <f t="shared" si="3"/>
        <v>0</v>
      </c>
      <c r="B75" t="b">
        <f t="shared" si="4"/>
        <v>0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t="b">
        <f t="shared" si="3"/>
        <v>0</v>
      </c>
      <c r="B76" t="b">
        <f t="shared" si="4"/>
        <v>0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t="b">
        <f t="shared" si="3"/>
        <v>0</v>
      </c>
      <c r="B77" t="b">
        <f t="shared" si="4"/>
        <v>0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t="b">
        <f t="shared" si="3"/>
        <v>0</v>
      </c>
      <c r="B78" t="b">
        <f t="shared" si="4"/>
        <v>0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Im_total_kWh</v>
      </c>
      <c r="B88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t="b">
        <f t="shared" si="3"/>
        <v>0</v>
      </c>
      <c r="B89" t="b">
        <f t="shared" si="4"/>
        <v>0</v>
      </c>
      <c r="C89">
        <v>7175</v>
      </c>
      <c r="D89" s="16" t="s">
        <v>728</v>
      </c>
      <c r="E89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  <c r="G90">
        <v>7174</v>
      </c>
      <c r="I90" t="s">
        <v>636</v>
      </c>
      <c r="J90">
        <v>88</v>
      </c>
      <c r="K90" t="s">
        <v>380</v>
      </c>
      <c r="L90" t="s">
        <v>381</v>
      </c>
      <c r="M90">
        <v>1E-3</v>
      </c>
      <c r="N90">
        <v>0</v>
      </c>
      <c r="O90" t="s">
        <v>636</v>
      </c>
      <c r="P90">
        <v>7174</v>
      </c>
      <c r="Q90">
        <v>3</v>
      </c>
      <c r="R90" t="s">
        <v>421</v>
      </c>
    </row>
    <row r="91" spans="1:18" x14ac:dyDescent="0.3">
      <c r="A91" t="b">
        <f t="shared" si="3"/>
        <v>0</v>
      </c>
      <c r="B9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  <c r="G91">
        <v>7182</v>
      </c>
      <c r="I91" t="s">
        <v>1013</v>
      </c>
      <c r="J91">
        <v>89</v>
      </c>
      <c r="K91" t="s">
        <v>380</v>
      </c>
      <c r="L91" t="s">
        <v>381</v>
      </c>
      <c r="M91">
        <v>1</v>
      </c>
      <c r="N91">
        <v>0</v>
      </c>
      <c r="O91" t="s">
        <v>1013</v>
      </c>
      <c r="P91">
        <v>7182</v>
      </c>
      <c r="Q91">
        <v>3</v>
      </c>
      <c r="R91" t="s">
        <v>395</v>
      </c>
    </row>
    <row r="92" spans="1:18" x14ac:dyDescent="0.3">
      <c r="A92" t="b">
        <f t="shared" si="3"/>
        <v>0</v>
      </c>
      <c r="B92" t="b">
        <f t="shared" si="4"/>
        <v>0</v>
      </c>
      <c r="C92">
        <v>7183</v>
      </c>
      <c r="D92" s="16" t="s">
        <v>639</v>
      </c>
      <c r="E92" t="s">
        <v>640</v>
      </c>
      <c r="F92">
        <f t="shared" si="5"/>
        <v>7182</v>
      </c>
    </row>
    <row r="93" spans="1:18" x14ac:dyDescent="0.3">
      <c r="A93" t="e">
        <f t="shared" si="3"/>
        <v>#N/A</v>
      </c>
      <c r="B93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</row>
    <row r="94" spans="1:18" x14ac:dyDescent="0.3">
      <c r="A94" t="e">
        <f t="shared" si="3"/>
        <v>#N/A</v>
      </c>
      <c r="B94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D9DE-A627-41EE-AD13-CA57B9127449}">
  <dimension ref="A1:R103"/>
  <sheetViews>
    <sheetView zoomScale="85" zoomScaleNormal="85" workbookViewId="0">
      <selection activeCell="F91" sqref="F91:F92"/>
    </sheetView>
  </sheetViews>
  <sheetFormatPr defaultRowHeight="16.5" x14ac:dyDescent="0.3"/>
  <cols>
    <col min="1" max="1" width="18.125" bestFit="1" customWidth="1"/>
    <col min="2" max="2" width="18.125" customWidth="1"/>
    <col min="5" max="5" width="15.875" bestFit="1" customWidth="1"/>
    <col min="9" max="9" width="15.625" bestFit="1" customWidth="1"/>
    <col min="15" max="15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t="str">
        <f>IF(VLOOKUP(F2,$G$2:$R$95,2,0)="Used",VLOOKUP(F2,$G$2:$R$95,3,0))</f>
        <v>Inst_kW</v>
      </c>
      <c r="B2">
        <f>IF(VLOOKUP(F2,$G$2:$R$95,2,0)="Used",VLOOKUP(F2,$G$2:$R$95,4,0))</f>
        <v>0</v>
      </c>
      <c r="C2">
        <v>7001</v>
      </c>
      <c r="D2" s="16" t="s">
        <v>646</v>
      </c>
      <c r="E2" t="s">
        <v>552</v>
      </c>
      <c r="F2">
        <f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-1E-3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t="str">
        <f t="shared" ref="A3:A66" si="0">IF(VLOOKUP(F3,$G$2:$R$95,2,0)="Used",VLOOKUP(F3,$G$2:$R$95,3,0))</f>
        <v>Inst_kVAr</v>
      </c>
      <c r="B3">
        <f t="shared" ref="B3:B66" si="1">IF(VLOOKUP(F3,$G$2:$R$95,2,0)="Used",VLOOKUP(F3,$G$2:$R$95,4,0))</f>
        <v>1</v>
      </c>
      <c r="C3">
        <v>7003</v>
      </c>
      <c r="D3" s="16" t="s">
        <v>647</v>
      </c>
      <c r="E3" t="s">
        <v>553</v>
      </c>
      <c r="F3">
        <f t="shared" ref="F3:F66" si="2">C3-1</f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-1E-3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t="str">
        <f t="shared" si="0"/>
        <v>Im_Total_kWh</v>
      </c>
      <c r="B4">
        <f t="shared" si="1"/>
        <v>2</v>
      </c>
      <c r="C4">
        <v>7005</v>
      </c>
      <c r="D4" s="16" t="s">
        <v>648</v>
      </c>
      <c r="E4" t="s">
        <v>554</v>
      </c>
      <c r="F4">
        <f t="shared" si="2"/>
        <v>7004</v>
      </c>
      <c r="G4">
        <v>7004</v>
      </c>
      <c r="H4" t="s">
        <v>1018</v>
      </c>
      <c r="I4" t="s">
        <v>1092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1092</v>
      </c>
      <c r="P4">
        <v>7004</v>
      </c>
      <c r="Q4">
        <v>3</v>
      </c>
      <c r="R4" t="s">
        <v>421</v>
      </c>
    </row>
    <row r="5" spans="1:18" x14ac:dyDescent="0.3">
      <c r="A5" t="str">
        <f t="shared" si="0"/>
        <v>Im_kWh_RateA</v>
      </c>
      <c r="B5">
        <f t="shared" si="1"/>
        <v>3</v>
      </c>
      <c r="C5">
        <v>7007</v>
      </c>
      <c r="D5" s="16" t="s">
        <v>649</v>
      </c>
      <c r="E5" t="s">
        <v>555</v>
      </c>
      <c r="F5">
        <f t="shared" si="2"/>
        <v>7006</v>
      </c>
      <c r="G5">
        <v>7006</v>
      </c>
      <c r="H5" t="s">
        <v>1018</v>
      </c>
      <c r="I5" t="s">
        <v>979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979</v>
      </c>
      <c r="P5">
        <v>7006</v>
      </c>
      <c r="Q5">
        <v>3</v>
      </c>
      <c r="R5" t="s">
        <v>421</v>
      </c>
    </row>
    <row r="6" spans="1:18" x14ac:dyDescent="0.3">
      <c r="A6" t="str">
        <f t="shared" si="0"/>
        <v>Im_kWh_RateB</v>
      </c>
      <c r="B6">
        <f t="shared" si="1"/>
        <v>4</v>
      </c>
      <c r="C6">
        <v>7009</v>
      </c>
      <c r="D6" s="16" t="s">
        <v>650</v>
      </c>
      <c r="E6" t="s">
        <v>556</v>
      </c>
      <c r="F6">
        <f t="shared" si="2"/>
        <v>7008</v>
      </c>
      <c r="G6">
        <v>7008</v>
      </c>
      <c r="H6" t="s">
        <v>1018</v>
      </c>
      <c r="I6" t="s">
        <v>980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980</v>
      </c>
      <c r="P6">
        <v>7008</v>
      </c>
      <c r="Q6">
        <v>3</v>
      </c>
      <c r="R6" t="s">
        <v>421</v>
      </c>
    </row>
    <row r="7" spans="1:18" x14ac:dyDescent="0.3">
      <c r="A7" t="str">
        <f t="shared" si="0"/>
        <v>Im_kWh_RateC</v>
      </c>
      <c r="B7">
        <f t="shared" si="1"/>
        <v>5</v>
      </c>
      <c r="C7">
        <v>7011</v>
      </c>
      <c r="D7" s="16" t="s">
        <v>651</v>
      </c>
      <c r="E7" t="s">
        <v>557</v>
      </c>
      <c r="F7">
        <f t="shared" si="2"/>
        <v>7010</v>
      </c>
      <c r="G7">
        <v>7010</v>
      </c>
      <c r="H7" t="s">
        <v>1018</v>
      </c>
      <c r="I7" t="s">
        <v>981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981</v>
      </c>
      <c r="P7">
        <v>7010</v>
      </c>
      <c r="Q7">
        <v>3</v>
      </c>
      <c r="R7" t="s">
        <v>421</v>
      </c>
    </row>
    <row r="8" spans="1:18" x14ac:dyDescent="0.3">
      <c r="A8" t="b">
        <f t="shared" si="0"/>
        <v>0</v>
      </c>
      <c r="B8" t="b">
        <f t="shared" si="1"/>
        <v>0</v>
      </c>
      <c r="C8">
        <v>7013</v>
      </c>
      <c r="D8" s="16" t="s">
        <v>652</v>
      </c>
      <c r="E8" t="s">
        <v>558</v>
      </c>
      <c r="F8">
        <f t="shared" si="2"/>
        <v>7012</v>
      </c>
      <c r="G8">
        <v>7012</v>
      </c>
      <c r="I8" t="s">
        <v>982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982</v>
      </c>
      <c r="P8">
        <v>7012</v>
      </c>
      <c r="Q8">
        <v>3</v>
      </c>
      <c r="R8" t="s">
        <v>421</v>
      </c>
    </row>
    <row r="9" spans="1:18" x14ac:dyDescent="0.3">
      <c r="A9" t="b">
        <f t="shared" si="0"/>
        <v>0</v>
      </c>
      <c r="B9" t="b">
        <f t="shared" si="1"/>
        <v>0</v>
      </c>
      <c r="C9">
        <v>7015</v>
      </c>
      <c r="D9" s="16" t="s">
        <v>653</v>
      </c>
      <c r="E9" t="s">
        <v>559</v>
      </c>
      <c r="F9">
        <f t="shared" si="2"/>
        <v>7014</v>
      </c>
      <c r="G9">
        <v>7014</v>
      </c>
      <c r="I9" t="s">
        <v>983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983</v>
      </c>
      <c r="P9">
        <v>7014</v>
      </c>
      <c r="Q9">
        <v>3</v>
      </c>
      <c r="R9" t="s">
        <v>421</v>
      </c>
    </row>
    <row r="10" spans="1:18" x14ac:dyDescent="0.3">
      <c r="A10" t="b">
        <f t="shared" si="0"/>
        <v>0</v>
      </c>
      <c r="B10" t="b">
        <f t="shared" si="1"/>
        <v>0</v>
      </c>
      <c r="C10">
        <v>7017</v>
      </c>
      <c r="D10" s="16" t="s">
        <v>654</v>
      </c>
      <c r="E10" t="s">
        <v>560</v>
      </c>
      <c r="F10">
        <f t="shared" si="2"/>
        <v>7016</v>
      </c>
      <c r="G10">
        <v>7016</v>
      </c>
      <c r="I10" t="s">
        <v>984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984</v>
      </c>
      <c r="P10">
        <v>7016</v>
      </c>
      <c r="Q10">
        <v>3</v>
      </c>
      <c r="R10" t="s">
        <v>421</v>
      </c>
    </row>
    <row r="11" spans="1:18" x14ac:dyDescent="0.3">
      <c r="A11" t="b">
        <f t="shared" si="0"/>
        <v>0</v>
      </c>
      <c r="B11" t="b">
        <f t="shared" si="1"/>
        <v>0</v>
      </c>
      <c r="C11">
        <v>7019</v>
      </c>
      <c r="D11" s="16" t="s">
        <v>655</v>
      </c>
      <c r="E11" t="s">
        <v>561</v>
      </c>
      <c r="F11">
        <f t="shared" si="2"/>
        <v>7018</v>
      </c>
      <c r="G11">
        <v>7018</v>
      </c>
      <c r="I11" t="s">
        <v>1002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1002</v>
      </c>
      <c r="P11">
        <v>7018</v>
      </c>
      <c r="Q11">
        <v>3</v>
      </c>
      <c r="R11" t="s">
        <v>421</v>
      </c>
    </row>
    <row r="12" spans="1:18" x14ac:dyDescent="0.3">
      <c r="A12" t="b">
        <f t="shared" si="0"/>
        <v>0</v>
      </c>
      <c r="B12" t="b">
        <f t="shared" si="1"/>
        <v>0</v>
      </c>
      <c r="C12">
        <v>7021</v>
      </c>
      <c r="D12" s="16" t="s">
        <v>656</v>
      </c>
      <c r="E12" t="s">
        <v>562</v>
      </c>
      <c r="F12">
        <f t="shared" si="2"/>
        <v>7020</v>
      </c>
      <c r="G12">
        <v>7020</v>
      </c>
      <c r="I12" t="s">
        <v>1003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1003</v>
      </c>
      <c r="P12">
        <v>7020</v>
      </c>
      <c r="Q12">
        <v>3</v>
      </c>
      <c r="R12" t="s">
        <v>421</v>
      </c>
    </row>
    <row r="13" spans="1:18" x14ac:dyDescent="0.3">
      <c r="A13" t="b">
        <f t="shared" si="0"/>
        <v>0</v>
      </c>
      <c r="B13" t="b">
        <f t="shared" si="1"/>
        <v>0</v>
      </c>
      <c r="C13">
        <v>7023</v>
      </c>
      <c r="D13" s="16" t="s">
        <v>657</v>
      </c>
      <c r="E13" t="s">
        <v>563</v>
      </c>
      <c r="F13">
        <f t="shared" si="2"/>
        <v>7022</v>
      </c>
      <c r="G13">
        <v>7022</v>
      </c>
      <c r="I13" t="s">
        <v>1004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1004</v>
      </c>
      <c r="P13">
        <v>7022</v>
      </c>
      <c r="Q13">
        <v>3</v>
      </c>
      <c r="R13" t="s">
        <v>421</v>
      </c>
    </row>
    <row r="14" spans="1:18" x14ac:dyDescent="0.3">
      <c r="A14" t="str">
        <f t="shared" si="0"/>
        <v>Im_Total_kVArh</v>
      </c>
      <c r="B14">
        <f t="shared" si="1"/>
        <v>12</v>
      </c>
      <c r="C14">
        <v>7025</v>
      </c>
      <c r="D14" s="16" t="s">
        <v>658</v>
      </c>
      <c r="E14" t="s">
        <v>564</v>
      </c>
      <c r="F14">
        <f t="shared" si="2"/>
        <v>7024</v>
      </c>
      <c r="G14">
        <v>7024</v>
      </c>
      <c r="H14" t="s">
        <v>1018</v>
      </c>
      <c r="I14" t="s">
        <v>985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985</v>
      </c>
      <c r="P14">
        <v>7024</v>
      </c>
      <c r="Q14">
        <v>3</v>
      </c>
      <c r="R14" t="s">
        <v>421</v>
      </c>
    </row>
    <row r="15" spans="1:18" x14ac:dyDescent="0.3">
      <c r="A15" t="b">
        <f t="shared" si="0"/>
        <v>0</v>
      </c>
      <c r="B15" t="b">
        <f t="shared" si="1"/>
        <v>0</v>
      </c>
      <c r="C15">
        <v>7027</v>
      </c>
      <c r="D15" s="16" t="s">
        <v>659</v>
      </c>
      <c r="E15" t="s">
        <v>565</v>
      </c>
      <c r="F15">
        <f t="shared" si="2"/>
        <v>7026</v>
      </c>
      <c r="G15">
        <v>7026</v>
      </c>
      <c r="I15" t="s">
        <v>986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986</v>
      </c>
      <c r="P15">
        <v>7026</v>
      </c>
      <c r="Q15">
        <v>3</v>
      </c>
      <c r="R15" t="s">
        <v>421</v>
      </c>
    </row>
    <row r="16" spans="1:18" x14ac:dyDescent="0.3">
      <c r="A16" t="b">
        <f t="shared" si="0"/>
        <v>0</v>
      </c>
      <c r="B16" t="b">
        <f t="shared" si="1"/>
        <v>0</v>
      </c>
      <c r="C16">
        <v>7029</v>
      </c>
      <c r="D16" s="16" t="s">
        <v>660</v>
      </c>
      <c r="E16" t="s">
        <v>566</v>
      </c>
      <c r="F16">
        <f t="shared" si="2"/>
        <v>7028</v>
      </c>
      <c r="G16">
        <v>7028</v>
      </c>
      <c r="I16" t="s">
        <v>987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987</v>
      </c>
      <c r="P16">
        <v>7028</v>
      </c>
      <c r="Q16">
        <v>3</v>
      </c>
      <c r="R16" t="s">
        <v>421</v>
      </c>
    </row>
    <row r="17" spans="1:18" x14ac:dyDescent="0.3">
      <c r="A17" t="b">
        <f t="shared" si="0"/>
        <v>0</v>
      </c>
      <c r="B17" t="b">
        <f t="shared" si="1"/>
        <v>0</v>
      </c>
      <c r="C17">
        <v>7031</v>
      </c>
      <c r="D17" s="16" t="s">
        <v>661</v>
      </c>
      <c r="E17" t="s">
        <v>567</v>
      </c>
      <c r="F17">
        <f t="shared" si="2"/>
        <v>7030</v>
      </c>
      <c r="G17">
        <v>7030</v>
      </c>
      <c r="I17" t="s">
        <v>988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988</v>
      </c>
      <c r="P17">
        <v>7030</v>
      </c>
      <c r="Q17">
        <v>3</v>
      </c>
      <c r="R17" t="s">
        <v>421</v>
      </c>
    </row>
    <row r="18" spans="1:18" x14ac:dyDescent="0.3">
      <c r="A18" t="b">
        <f t="shared" si="0"/>
        <v>0</v>
      </c>
      <c r="B18" t="b">
        <f t="shared" si="1"/>
        <v>0</v>
      </c>
      <c r="C18">
        <v>7033</v>
      </c>
      <c r="D18" s="16" t="s">
        <v>662</v>
      </c>
      <c r="E18" t="s">
        <v>568</v>
      </c>
      <c r="F18">
        <f t="shared" si="2"/>
        <v>7032</v>
      </c>
      <c r="G18">
        <v>7032</v>
      </c>
      <c r="I18" t="s">
        <v>989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989</v>
      </c>
      <c r="P18">
        <v>7032</v>
      </c>
      <c r="Q18">
        <v>3</v>
      </c>
      <c r="R18" t="s">
        <v>421</v>
      </c>
    </row>
    <row r="19" spans="1:18" x14ac:dyDescent="0.3">
      <c r="A19" t="b">
        <f t="shared" si="0"/>
        <v>0</v>
      </c>
      <c r="B19" t="b">
        <f t="shared" si="1"/>
        <v>0</v>
      </c>
      <c r="C19">
        <v>7035</v>
      </c>
      <c r="D19" s="16" t="s">
        <v>663</v>
      </c>
      <c r="E19" t="s">
        <v>569</v>
      </c>
      <c r="F19">
        <f t="shared" si="2"/>
        <v>7034</v>
      </c>
      <c r="G19">
        <v>7034</v>
      </c>
      <c r="I19" t="s">
        <v>990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990</v>
      </c>
      <c r="P19">
        <v>7034</v>
      </c>
      <c r="Q19">
        <v>3</v>
      </c>
      <c r="R19" t="s">
        <v>421</v>
      </c>
    </row>
    <row r="20" spans="1:18" x14ac:dyDescent="0.3">
      <c r="A20" t="b">
        <f t="shared" si="0"/>
        <v>0</v>
      </c>
      <c r="B20" t="b">
        <f t="shared" si="1"/>
        <v>0</v>
      </c>
      <c r="C20">
        <v>7037</v>
      </c>
      <c r="D20" s="16" t="s">
        <v>664</v>
      </c>
      <c r="E20" t="s">
        <v>570</v>
      </c>
      <c r="F20">
        <f t="shared" si="2"/>
        <v>7036</v>
      </c>
      <c r="G20">
        <v>7036</v>
      </c>
      <c r="I20" t="s">
        <v>991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991</v>
      </c>
      <c r="P20">
        <v>7036</v>
      </c>
      <c r="Q20">
        <v>3</v>
      </c>
      <c r="R20" t="s">
        <v>421</v>
      </c>
    </row>
    <row r="21" spans="1:18" x14ac:dyDescent="0.3">
      <c r="A21" t="b">
        <f t="shared" si="0"/>
        <v>0</v>
      </c>
      <c r="B21" t="b">
        <f t="shared" si="1"/>
        <v>0</v>
      </c>
      <c r="C21">
        <v>7039</v>
      </c>
      <c r="D21" s="16" t="s">
        <v>665</v>
      </c>
      <c r="E21" t="s">
        <v>571</v>
      </c>
      <c r="F21">
        <f t="shared" si="2"/>
        <v>7038</v>
      </c>
      <c r="G21">
        <v>7038</v>
      </c>
      <c r="I21" t="s">
        <v>992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992</v>
      </c>
      <c r="P21">
        <v>7038</v>
      </c>
      <c r="Q21">
        <v>3</v>
      </c>
      <c r="R21" t="s">
        <v>421</v>
      </c>
    </row>
    <row r="22" spans="1:18" x14ac:dyDescent="0.3">
      <c r="A22" t="b">
        <f t="shared" si="0"/>
        <v>0</v>
      </c>
      <c r="B22" t="b">
        <f t="shared" si="1"/>
        <v>0</v>
      </c>
      <c r="C22">
        <v>7041</v>
      </c>
      <c r="D22" s="16" t="s">
        <v>666</v>
      </c>
      <c r="E22" t="s">
        <v>572</v>
      </c>
      <c r="F22">
        <f t="shared" si="2"/>
        <v>7040</v>
      </c>
      <c r="G22">
        <v>7040</v>
      </c>
      <c r="I22" t="s">
        <v>993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993</v>
      </c>
      <c r="P22">
        <v>7040</v>
      </c>
      <c r="Q22">
        <v>3</v>
      </c>
      <c r="R22" t="s">
        <v>421</v>
      </c>
    </row>
    <row r="23" spans="1:18" x14ac:dyDescent="0.3">
      <c r="A23" t="b">
        <f t="shared" si="0"/>
        <v>0</v>
      </c>
      <c r="B23" t="b">
        <f t="shared" si="1"/>
        <v>0</v>
      </c>
      <c r="C23">
        <v>7043</v>
      </c>
      <c r="D23" s="16" t="s">
        <v>667</v>
      </c>
      <c r="E23" t="s">
        <v>573</v>
      </c>
      <c r="F23">
        <f t="shared" si="2"/>
        <v>7042</v>
      </c>
      <c r="G23">
        <v>7042</v>
      </c>
      <c r="I23" t="s">
        <v>994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994</v>
      </c>
      <c r="P23">
        <v>7042</v>
      </c>
      <c r="Q23">
        <v>3</v>
      </c>
      <c r="R23" t="s">
        <v>421</v>
      </c>
    </row>
    <row r="24" spans="1:18" x14ac:dyDescent="0.3">
      <c r="A24" t="b">
        <f t="shared" si="0"/>
        <v>0</v>
      </c>
      <c r="B24" t="b">
        <f t="shared" si="1"/>
        <v>0</v>
      </c>
      <c r="C24">
        <v>7045</v>
      </c>
      <c r="D24" s="16" t="s">
        <v>668</v>
      </c>
      <c r="E24" t="s">
        <v>574</v>
      </c>
      <c r="F24">
        <f t="shared" si="2"/>
        <v>7044</v>
      </c>
      <c r="G24">
        <v>7044</v>
      </c>
      <c r="I24" t="s">
        <v>995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995</v>
      </c>
      <c r="P24">
        <v>7044</v>
      </c>
      <c r="Q24">
        <v>3</v>
      </c>
      <c r="R24" t="s">
        <v>421</v>
      </c>
    </row>
    <row r="25" spans="1:18" x14ac:dyDescent="0.3">
      <c r="A25" t="b">
        <f t="shared" si="0"/>
        <v>0</v>
      </c>
      <c r="B25" t="b">
        <f t="shared" si="1"/>
        <v>0</v>
      </c>
      <c r="C25">
        <v>7047</v>
      </c>
      <c r="D25" s="16" t="s">
        <v>669</v>
      </c>
      <c r="E25" t="s">
        <v>575</v>
      </c>
      <c r="F25">
        <f t="shared" si="2"/>
        <v>7046</v>
      </c>
      <c r="G25">
        <v>7046</v>
      </c>
      <c r="I25" t="s">
        <v>996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996</v>
      </c>
      <c r="P25">
        <v>7046</v>
      </c>
      <c r="Q25">
        <v>3</v>
      </c>
      <c r="R25" t="s">
        <v>421</v>
      </c>
    </row>
    <row r="26" spans="1:18" x14ac:dyDescent="0.3">
      <c r="A26" t="b">
        <f t="shared" si="0"/>
        <v>0</v>
      </c>
      <c r="B26" t="b">
        <f t="shared" si="1"/>
        <v>0</v>
      </c>
      <c r="C26">
        <v>7049</v>
      </c>
      <c r="D26" s="16" t="s">
        <v>670</v>
      </c>
      <c r="E26" t="s">
        <v>576</v>
      </c>
      <c r="F26">
        <f t="shared" si="2"/>
        <v>7048</v>
      </c>
      <c r="G26">
        <v>7048</v>
      </c>
      <c r="I26" t="s">
        <v>997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997</v>
      </c>
      <c r="P26">
        <v>7048</v>
      </c>
      <c r="Q26">
        <v>3</v>
      </c>
      <c r="R26" t="s">
        <v>421</v>
      </c>
    </row>
    <row r="27" spans="1:18" x14ac:dyDescent="0.3">
      <c r="A27" t="b">
        <f t="shared" si="0"/>
        <v>0</v>
      </c>
      <c r="B27" t="b">
        <f t="shared" si="1"/>
        <v>0</v>
      </c>
      <c r="C27">
        <v>7051</v>
      </c>
      <c r="D27" s="16" t="s">
        <v>671</v>
      </c>
      <c r="E27" t="s">
        <v>577</v>
      </c>
      <c r="F27">
        <f t="shared" si="2"/>
        <v>7050</v>
      </c>
      <c r="G27">
        <v>7050</v>
      </c>
      <c r="I27" t="s">
        <v>998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998</v>
      </c>
      <c r="P27">
        <v>7050</v>
      </c>
      <c r="Q27">
        <v>3</v>
      </c>
      <c r="R27" t="s">
        <v>421</v>
      </c>
    </row>
    <row r="28" spans="1:18" x14ac:dyDescent="0.3">
      <c r="A28" t="b">
        <f t="shared" si="0"/>
        <v>0</v>
      </c>
      <c r="B28" t="b">
        <f t="shared" si="1"/>
        <v>0</v>
      </c>
      <c r="C28">
        <v>7053</v>
      </c>
      <c r="D28" s="16" t="s">
        <v>672</v>
      </c>
      <c r="E28" t="s">
        <v>578</v>
      </c>
      <c r="F28">
        <f t="shared" si="2"/>
        <v>7052</v>
      </c>
      <c r="G28">
        <v>7052</v>
      </c>
      <c r="I28" t="s">
        <v>999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999</v>
      </c>
      <c r="P28">
        <v>7052</v>
      </c>
      <c r="Q28">
        <v>3</v>
      </c>
      <c r="R28" t="s">
        <v>421</v>
      </c>
    </row>
    <row r="29" spans="1:18" x14ac:dyDescent="0.3">
      <c r="A29" t="b">
        <f t="shared" si="0"/>
        <v>0</v>
      </c>
      <c r="B29" t="b">
        <f t="shared" si="1"/>
        <v>0</v>
      </c>
      <c r="C29">
        <v>7055</v>
      </c>
      <c r="D29" s="16" t="s">
        <v>673</v>
      </c>
      <c r="E29" t="s">
        <v>579</v>
      </c>
      <c r="F29">
        <f t="shared" si="2"/>
        <v>7054</v>
      </c>
      <c r="G29">
        <v>7054</v>
      </c>
      <c r="I29" t="s">
        <v>1000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1000</v>
      </c>
      <c r="P29">
        <v>7054</v>
      </c>
      <c r="Q29">
        <v>3</v>
      </c>
      <c r="R29" t="s">
        <v>421</v>
      </c>
    </row>
    <row r="30" spans="1:18" x14ac:dyDescent="0.3">
      <c r="A30" t="b">
        <f t="shared" si="0"/>
        <v>0</v>
      </c>
      <c r="B30" t="b">
        <f t="shared" si="1"/>
        <v>0</v>
      </c>
      <c r="C30">
        <v>7057</v>
      </c>
      <c r="D30" s="16" t="s">
        <v>674</v>
      </c>
      <c r="E30" t="s">
        <v>580</v>
      </c>
      <c r="F30">
        <f t="shared" si="2"/>
        <v>7056</v>
      </c>
      <c r="G30">
        <v>7056</v>
      </c>
      <c r="I30" t="s">
        <v>1001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1001</v>
      </c>
      <c r="P30">
        <v>7056</v>
      </c>
      <c r="Q30">
        <v>3</v>
      </c>
      <c r="R30" t="s">
        <v>421</v>
      </c>
    </row>
    <row r="31" spans="1:18" x14ac:dyDescent="0.3">
      <c r="A31" t="b">
        <f t="shared" si="0"/>
        <v>0</v>
      </c>
      <c r="B31" t="b">
        <f t="shared" si="1"/>
        <v>0</v>
      </c>
      <c r="C31">
        <v>7059</v>
      </c>
      <c r="D31" s="16" t="s">
        <v>655</v>
      </c>
      <c r="E31" t="s">
        <v>561</v>
      </c>
      <c r="F31">
        <f t="shared" si="2"/>
        <v>7058</v>
      </c>
      <c r="G31">
        <v>7058</v>
      </c>
      <c r="I31" t="s">
        <v>1093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1093</v>
      </c>
      <c r="P31">
        <v>7058</v>
      </c>
      <c r="Q31">
        <v>3</v>
      </c>
      <c r="R31" t="s">
        <v>421</v>
      </c>
    </row>
    <row r="32" spans="1:18" x14ac:dyDescent="0.3">
      <c r="A32" t="b">
        <f t="shared" si="0"/>
        <v>0</v>
      </c>
      <c r="B32" t="b">
        <f t="shared" si="1"/>
        <v>0</v>
      </c>
      <c r="C32">
        <v>7061</v>
      </c>
      <c r="D32" s="16" t="s">
        <v>656</v>
      </c>
      <c r="E32" t="s">
        <v>562</v>
      </c>
      <c r="F32">
        <f t="shared" si="2"/>
        <v>7060</v>
      </c>
      <c r="G32">
        <v>7060</v>
      </c>
      <c r="I32" t="s">
        <v>1094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1094</v>
      </c>
      <c r="P32">
        <v>7060</v>
      </c>
      <c r="Q32">
        <v>3</v>
      </c>
      <c r="R32" t="s">
        <v>421</v>
      </c>
    </row>
    <row r="33" spans="1:18" x14ac:dyDescent="0.3">
      <c r="A33" t="b">
        <f t="shared" si="0"/>
        <v>0</v>
      </c>
      <c r="B33" t="b">
        <f t="shared" si="1"/>
        <v>0</v>
      </c>
      <c r="C33">
        <v>7063</v>
      </c>
      <c r="D33" s="16" t="s">
        <v>657</v>
      </c>
      <c r="E33" t="s">
        <v>563</v>
      </c>
      <c r="F33">
        <f t="shared" si="2"/>
        <v>7062</v>
      </c>
      <c r="G33">
        <v>7062</v>
      </c>
      <c r="I33" t="s">
        <v>1095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1095</v>
      </c>
      <c r="P33">
        <v>7062</v>
      </c>
      <c r="Q33">
        <v>3</v>
      </c>
      <c r="R33" t="s">
        <v>421</v>
      </c>
    </row>
    <row r="34" spans="1:18" x14ac:dyDescent="0.3">
      <c r="A34" t="b">
        <f t="shared" si="0"/>
        <v>0</v>
      </c>
      <c r="B34" t="b">
        <f t="shared" si="1"/>
        <v>0</v>
      </c>
      <c r="C34">
        <v>7065</v>
      </c>
      <c r="D34" s="16" t="s">
        <v>675</v>
      </c>
      <c r="E34" t="s">
        <v>581</v>
      </c>
      <c r="F34">
        <f t="shared" si="2"/>
        <v>7064</v>
      </c>
      <c r="G34">
        <v>7064</v>
      </c>
      <c r="I34" t="s">
        <v>1005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1005</v>
      </c>
      <c r="P34">
        <v>7064</v>
      </c>
      <c r="Q34">
        <v>3</v>
      </c>
      <c r="R34" t="s">
        <v>421</v>
      </c>
    </row>
    <row r="35" spans="1:18" x14ac:dyDescent="0.3">
      <c r="A35" t="b">
        <f t="shared" si="0"/>
        <v>0</v>
      </c>
      <c r="B35" t="b">
        <f t="shared" si="1"/>
        <v>0</v>
      </c>
      <c r="C35">
        <v>7067</v>
      </c>
      <c r="D35" s="16" t="s">
        <v>676</v>
      </c>
      <c r="E35" t="s">
        <v>582</v>
      </c>
      <c r="F35">
        <f t="shared" si="2"/>
        <v>7066</v>
      </c>
      <c r="G35">
        <v>7066</v>
      </c>
      <c r="I35" t="s">
        <v>1006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1006</v>
      </c>
      <c r="P35">
        <v>7066</v>
      </c>
      <c r="Q35">
        <v>3</v>
      </c>
      <c r="R35" t="s">
        <v>421</v>
      </c>
    </row>
    <row r="36" spans="1:18" x14ac:dyDescent="0.3">
      <c r="A36" t="b">
        <f t="shared" si="0"/>
        <v>0</v>
      </c>
      <c r="B36" t="b">
        <f t="shared" si="1"/>
        <v>0</v>
      </c>
      <c r="C36">
        <v>7069</v>
      </c>
      <c r="D36" s="16" t="s">
        <v>658</v>
      </c>
      <c r="E36" t="s">
        <v>583</v>
      </c>
      <c r="F36">
        <f t="shared" si="2"/>
        <v>7068</v>
      </c>
      <c r="G36">
        <v>7068</v>
      </c>
      <c r="I36" t="s">
        <v>1007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1007</v>
      </c>
      <c r="P36">
        <v>7068</v>
      </c>
      <c r="Q36">
        <v>3</v>
      </c>
      <c r="R36" t="s">
        <v>421</v>
      </c>
    </row>
    <row r="37" spans="1:18" x14ac:dyDescent="0.3">
      <c r="A37" t="b">
        <f t="shared" si="0"/>
        <v>0</v>
      </c>
      <c r="B37" t="b">
        <f t="shared" si="1"/>
        <v>0</v>
      </c>
      <c r="C37">
        <v>7071</v>
      </c>
      <c r="D37" s="16" t="s">
        <v>677</v>
      </c>
      <c r="E37" t="s">
        <v>584</v>
      </c>
      <c r="F37">
        <f t="shared" si="2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t="b">
        <f t="shared" si="0"/>
        <v>0</v>
      </c>
      <c r="B38" t="b">
        <f t="shared" si="1"/>
        <v>0</v>
      </c>
      <c r="C38">
        <v>7073</v>
      </c>
      <c r="D38" s="16" t="s">
        <v>678</v>
      </c>
      <c r="E38" t="s">
        <v>585</v>
      </c>
      <c r="F38">
        <f t="shared" si="2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t="b">
        <f t="shared" si="0"/>
        <v>0</v>
      </c>
      <c r="B39" t="b">
        <f t="shared" si="1"/>
        <v>0</v>
      </c>
      <c r="C39">
        <v>7075</v>
      </c>
      <c r="D39" s="16" t="s">
        <v>679</v>
      </c>
      <c r="E39" t="s">
        <v>586</v>
      </c>
      <c r="F39">
        <f t="shared" si="2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t="b">
        <f t="shared" si="0"/>
        <v>0</v>
      </c>
      <c r="B40" t="b">
        <f t="shared" si="1"/>
        <v>0</v>
      </c>
      <c r="C40">
        <v>7077</v>
      </c>
      <c r="D40" s="16" t="s">
        <v>680</v>
      </c>
      <c r="E40" t="s">
        <v>587</v>
      </c>
      <c r="F40">
        <f t="shared" si="2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t="b">
        <f t="shared" si="0"/>
        <v>0</v>
      </c>
      <c r="B41" t="b">
        <f t="shared" si="1"/>
        <v>0</v>
      </c>
      <c r="C41">
        <v>7079</v>
      </c>
      <c r="D41" s="16" t="s">
        <v>681</v>
      </c>
      <c r="E41" t="s">
        <v>588</v>
      </c>
      <c r="F41">
        <f t="shared" si="2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t="b">
        <f t="shared" si="0"/>
        <v>0</v>
      </c>
      <c r="B42" t="b">
        <f t="shared" si="1"/>
        <v>0</v>
      </c>
      <c r="C42">
        <v>7081</v>
      </c>
      <c r="D42" s="16" t="s">
        <v>682</v>
      </c>
      <c r="E42" t="s">
        <v>589</v>
      </c>
      <c r="F42">
        <f t="shared" si="2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t="b">
        <f t="shared" si="0"/>
        <v>0</v>
      </c>
      <c r="B43" t="b">
        <f t="shared" si="1"/>
        <v>0</v>
      </c>
      <c r="C43">
        <v>7083</v>
      </c>
      <c r="D43" s="16" t="s">
        <v>683</v>
      </c>
      <c r="E43" t="s">
        <v>590</v>
      </c>
      <c r="F43">
        <f t="shared" si="2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t="b">
        <f t="shared" si="0"/>
        <v>0</v>
      </c>
      <c r="B44" t="b">
        <f t="shared" si="1"/>
        <v>0</v>
      </c>
      <c r="C44">
        <v>7085</v>
      </c>
      <c r="D44" s="16" t="s">
        <v>684</v>
      </c>
      <c r="E44" t="s">
        <v>591</v>
      </c>
      <c r="F44">
        <f t="shared" si="2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t="b">
        <f t="shared" si="0"/>
        <v>0</v>
      </c>
      <c r="B45" t="b">
        <f t="shared" si="1"/>
        <v>0</v>
      </c>
      <c r="C45">
        <v>7087</v>
      </c>
      <c r="D45" s="16" t="s">
        <v>685</v>
      </c>
      <c r="E45" t="s">
        <v>592</v>
      </c>
      <c r="F45">
        <f t="shared" si="2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t="b">
        <f t="shared" si="0"/>
        <v>0</v>
      </c>
      <c r="B46" t="b">
        <f t="shared" si="1"/>
        <v>0</v>
      </c>
      <c r="C46">
        <v>7089</v>
      </c>
      <c r="D46" s="16" t="s">
        <v>686</v>
      </c>
      <c r="E46" t="s">
        <v>593</v>
      </c>
      <c r="F46">
        <f t="shared" si="2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t="b">
        <f t="shared" si="0"/>
        <v>0</v>
      </c>
      <c r="B47" t="b">
        <f t="shared" si="1"/>
        <v>0</v>
      </c>
      <c r="C47">
        <v>7091</v>
      </c>
      <c r="D47" s="16" t="s">
        <v>687</v>
      </c>
      <c r="E47" t="s">
        <v>594</v>
      </c>
      <c r="F47">
        <f t="shared" si="2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t="b">
        <f t="shared" si="0"/>
        <v>0</v>
      </c>
      <c r="B48" t="b">
        <f t="shared" si="1"/>
        <v>0</v>
      </c>
      <c r="C48">
        <v>7093</v>
      </c>
      <c r="D48" s="16" t="s">
        <v>688</v>
      </c>
      <c r="E48" t="s">
        <v>595</v>
      </c>
      <c r="F48">
        <f t="shared" si="2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t="b">
        <f t="shared" si="0"/>
        <v>0</v>
      </c>
      <c r="B49" t="b">
        <f t="shared" si="1"/>
        <v>0</v>
      </c>
      <c r="C49">
        <v>7095</v>
      </c>
      <c r="D49" s="16" t="s">
        <v>689</v>
      </c>
      <c r="E49" t="s">
        <v>596</v>
      </c>
      <c r="F49">
        <f t="shared" si="2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t="b">
        <f t="shared" si="0"/>
        <v>0</v>
      </c>
      <c r="B50" t="b">
        <f t="shared" si="1"/>
        <v>0</v>
      </c>
      <c r="C50">
        <v>7097</v>
      </c>
      <c r="D50" s="16" t="s">
        <v>690</v>
      </c>
      <c r="E50" t="s">
        <v>597</v>
      </c>
      <c r="F50">
        <f t="shared" si="2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t="b">
        <f t="shared" si="0"/>
        <v>0</v>
      </c>
      <c r="B51" t="b">
        <f t="shared" si="1"/>
        <v>0</v>
      </c>
      <c r="C51">
        <v>7099</v>
      </c>
      <c r="D51" s="16" t="s">
        <v>691</v>
      </c>
      <c r="E51" t="s">
        <v>598</v>
      </c>
      <c r="F51">
        <f t="shared" si="2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t="b">
        <f t="shared" si="0"/>
        <v>0</v>
      </c>
      <c r="B52" t="b">
        <f t="shared" si="1"/>
        <v>0</v>
      </c>
      <c r="C52">
        <v>7101</v>
      </c>
      <c r="D52" s="16" t="s">
        <v>692</v>
      </c>
      <c r="E52" t="s">
        <v>599</v>
      </c>
      <c r="F52">
        <f t="shared" si="2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t="b">
        <f t="shared" si="0"/>
        <v>0</v>
      </c>
      <c r="B53" t="b">
        <f t="shared" si="1"/>
        <v>0</v>
      </c>
      <c r="C53">
        <v>7103</v>
      </c>
      <c r="D53" s="16" t="s">
        <v>693</v>
      </c>
      <c r="E53" t="s">
        <v>600</v>
      </c>
      <c r="F53">
        <f t="shared" si="2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t="b">
        <f t="shared" si="0"/>
        <v>0</v>
      </c>
      <c r="B54" t="b">
        <f t="shared" si="1"/>
        <v>0</v>
      </c>
      <c r="C54">
        <v>7105</v>
      </c>
      <c r="D54" s="16" t="s">
        <v>694</v>
      </c>
      <c r="E54" t="s">
        <v>601</v>
      </c>
      <c r="F54">
        <f t="shared" si="2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t="b">
        <f t="shared" si="0"/>
        <v>0</v>
      </c>
      <c r="B55" t="b">
        <f t="shared" si="1"/>
        <v>0</v>
      </c>
      <c r="C55">
        <v>7107</v>
      </c>
      <c r="D55" s="16" t="s">
        <v>695</v>
      </c>
      <c r="E55" t="s">
        <v>602</v>
      </c>
      <c r="F55">
        <f t="shared" si="2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t="b">
        <f t="shared" si="0"/>
        <v>0</v>
      </c>
      <c r="B56" t="b">
        <f t="shared" si="1"/>
        <v>0</v>
      </c>
      <c r="C56">
        <v>7109</v>
      </c>
      <c r="D56" s="16" t="s">
        <v>696</v>
      </c>
      <c r="E56" t="s">
        <v>603</v>
      </c>
      <c r="F56">
        <f t="shared" si="2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t="b">
        <f t="shared" si="0"/>
        <v>0</v>
      </c>
      <c r="B57" t="b">
        <f t="shared" si="1"/>
        <v>0</v>
      </c>
      <c r="C57">
        <v>7111</v>
      </c>
      <c r="D57" s="16" t="s">
        <v>697</v>
      </c>
      <c r="E57" t="s">
        <v>604</v>
      </c>
      <c r="F57">
        <f t="shared" si="2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t="b">
        <f t="shared" si="0"/>
        <v>0</v>
      </c>
      <c r="B58" t="b">
        <f t="shared" si="1"/>
        <v>0</v>
      </c>
      <c r="C58">
        <v>7113</v>
      </c>
      <c r="D58" s="16" t="s">
        <v>698</v>
      </c>
      <c r="E58" t="s">
        <v>605</v>
      </c>
      <c r="F58">
        <f t="shared" si="2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t="str">
        <f t="shared" si="0"/>
        <v>Ex_kWh_RateA</v>
      </c>
      <c r="B59">
        <f t="shared" si="1"/>
        <v>57</v>
      </c>
      <c r="C59">
        <v>7115</v>
      </c>
      <c r="D59" s="16" t="s">
        <v>699</v>
      </c>
      <c r="E59" t="s">
        <v>606</v>
      </c>
      <c r="F59">
        <f t="shared" si="2"/>
        <v>7114</v>
      </c>
      <c r="G59">
        <v>7114</v>
      </c>
      <c r="H59" t="s">
        <v>1018</v>
      </c>
      <c r="I59" t="s">
        <v>926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926</v>
      </c>
      <c r="P59">
        <v>7114</v>
      </c>
      <c r="Q59">
        <v>3</v>
      </c>
      <c r="R59" t="s">
        <v>421</v>
      </c>
    </row>
    <row r="60" spans="1:18" x14ac:dyDescent="0.3">
      <c r="A60" t="str">
        <f t="shared" si="0"/>
        <v>Ex_kWh_RateB</v>
      </c>
      <c r="B60">
        <f t="shared" si="1"/>
        <v>58</v>
      </c>
      <c r="C60">
        <v>7117</v>
      </c>
      <c r="D60" s="16" t="s">
        <v>700</v>
      </c>
      <c r="E60" t="s">
        <v>607</v>
      </c>
      <c r="F60">
        <f t="shared" si="2"/>
        <v>7116</v>
      </c>
      <c r="G60">
        <v>7116</v>
      </c>
      <c r="H60" t="s">
        <v>1018</v>
      </c>
      <c r="I60" t="s">
        <v>927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927</v>
      </c>
      <c r="P60">
        <v>7116</v>
      </c>
      <c r="Q60">
        <v>3</v>
      </c>
      <c r="R60" t="s">
        <v>421</v>
      </c>
    </row>
    <row r="61" spans="1:18" x14ac:dyDescent="0.3">
      <c r="A61" t="str">
        <f t="shared" si="0"/>
        <v>Ex_kWh_RateC</v>
      </c>
      <c r="B61">
        <f t="shared" si="1"/>
        <v>59</v>
      </c>
      <c r="C61">
        <v>7119</v>
      </c>
      <c r="D61" s="16" t="s">
        <v>701</v>
      </c>
      <c r="E61" t="s">
        <v>608</v>
      </c>
      <c r="F61">
        <f t="shared" si="2"/>
        <v>7118</v>
      </c>
      <c r="G61">
        <v>7118</v>
      </c>
      <c r="H61" t="s">
        <v>1018</v>
      </c>
      <c r="I61" t="s">
        <v>928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928</v>
      </c>
      <c r="P61">
        <v>7118</v>
      </c>
      <c r="Q61">
        <v>3</v>
      </c>
      <c r="R61" t="s">
        <v>421</v>
      </c>
    </row>
    <row r="62" spans="1:18" x14ac:dyDescent="0.3">
      <c r="A62" t="b">
        <f t="shared" si="0"/>
        <v>0</v>
      </c>
      <c r="B62" t="b">
        <f t="shared" si="1"/>
        <v>0</v>
      </c>
      <c r="C62">
        <v>7121</v>
      </c>
      <c r="D62" s="16" t="s">
        <v>702</v>
      </c>
      <c r="E62" t="s">
        <v>609</v>
      </c>
      <c r="F62">
        <f t="shared" si="2"/>
        <v>7120</v>
      </c>
      <c r="G62">
        <v>7120</v>
      </c>
      <c r="I62" t="s">
        <v>929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929</v>
      </c>
      <c r="P62">
        <v>7120</v>
      </c>
      <c r="Q62">
        <v>3</v>
      </c>
      <c r="R62" t="s">
        <v>421</v>
      </c>
    </row>
    <row r="63" spans="1:18" x14ac:dyDescent="0.3">
      <c r="A63" t="b">
        <f t="shared" si="0"/>
        <v>0</v>
      </c>
      <c r="B63" t="b">
        <f t="shared" si="1"/>
        <v>0</v>
      </c>
      <c r="C63">
        <v>7123</v>
      </c>
      <c r="D63" s="16" t="s">
        <v>703</v>
      </c>
      <c r="E63" t="s">
        <v>610</v>
      </c>
      <c r="F63">
        <f t="shared" si="2"/>
        <v>7122</v>
      </c>
      <c r="G63">
        <v>7122</v>
      </c>
      <c r="I63" t="s">
        <v>930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930</v>
      </c>
      <c r="P63">
        <v>7122</v>
      </c>
      <c r="Q63">
        <v>3</v>
      </c>
      <c r="R63" t="s">
        <v>421</v>
      </c>
    </row>
    <row r="64" spans="1:18" x14ac:dyDescent="0.3">
      <c r="A64" t="b">
        <f t="shared" si="0"/>
        <v>0</v>
      </c>
      <c r="B64" t="b">
        <f t="shared" si="1"/>
        <v>0</v>
      </c>
      <c r="C64">
        <v>7125</v>
      </c>
      <c r="D64" s="16" t="s">
        <v>704</v>
      </c>
      <c r="E64" t="s">
        <v>611</v>
      </c>
      <c r="F64">
        <f t="shared" si="2"/>
        <v>7124</v>
      </c>
      <c r="G64">
        <v>7124</v>
      </c>
      <c r="I64" t="s">
        <v>931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931</v>
      </c>
      <c r="P64">
        <v>7124</v>
      </c>
      <c r="Q64">
        <v>3</v>
      </c>
      <c r="R64" t="s">
        <v>421</v>
      </c>
    </row>
    <row r="65" spans="1:18" x14ac:dyDescent="0.3">
      <c r="A65" t="str">
        <f t="shared" si="0"/>
        <v>Ex_Total_kVArh</v>
      </c>
      <c r="B65">
        <f t="shared" si="1"/>
        <v>63</v>
      </c>
      <c r="C65">
        <v>7127</v>
      </c>
      <c r="D65" s="16" t="s">
        <v>705</v>
      </c>
      <c r="E65" t="s">
        <v>612</v>
      </c>
      <c r="F65">
        <f t="shared" si="2"/>
        <v>7126</v>
      </c>
      <c r="G65">
        <v>7126</v>
      </c>
      <c r="H65" t="s">
        <v>1018</v>
      </c>
      <c r="I65" t="s">
        <v>935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935</v>
      </c>
      <c r="P65">
        <v>7126</v>
      </c>
      <c r="Q65">
        <v>3</v>
      </c>
      <c r="R65" t="s">
        <v>421</v>
      </c>
    </row>
    <row r="66" spans="1:18" x14ac:dyDescent="0.3">
      <c r="A66" t="b">
        <f t="shared" si="0"/>
        <v>0</v>
      </c>
      <c r="B66" t="b">
        <f t="shared" si="1"/>
        <v>0</v>
      </c>
      <c r="C66">
        <v>7129</v>
      </c>
      <c r="D66" s="16" t="s">
        <v>706</v>
      </c>
      <c r="E66" t="s">
        <v>613</v>
      </c>
      <c r="F66">
        <f t="shared" si="2"/>
        <v>7128</v>
      </c>
      <c r="G66">
        <v>7128</v>
      </c>
      <c r="I66" t="s">
        <v>936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936</v>
      </c>
      <c r="P66">
        <v>7128</v>
      </c>
      <c r="Q66">
        <v>3</v>
      </c>
      <c r="R66" t="s">
        <v>421</v>
      </c>
    </row>
    <row r="67" spans="1:18" x14ac:dyDescent="0.3">
      <c r="A67" t="b">
        <f t="shared" ref="A67:A95" si="3">IF(VLOOKUP(F67,$G$2:$R$95,2,0)="Used",VLOOKUP(F67,$G$2:$R$95,3,0))</f>
        <v>0</v>
      </c>
      <c r="B67" t="b">
        <f t="shared" ref="B67:B103" si="4">IF(VLOOKUP(F67,$G$2:$R$95,2,0)="Used",VLOOKUP(F67,$G$2:$R$95,4,0))</f>
        <v>0</v>
      </c>
      <c r="C67">
        <v>7131</v>
      </c>
      <c r="D67" s="16" t="s">
        <v>707</v>
      </c>
      <c r="E67" t="s">
        <v>614</v>
      </c>
      <c r="F67">
        <f t="shared" ref="F67:F95" si="5">C67-1</f>
        <v>7130</v>
      </c>
      <c r="G67">
        <v>7130</v>
      </c>
      <c r="I67" t="s">
        <v>937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937</v>
      </c>
      <c r="P67">
        <v>7130</v>
      </c>
      <c r="Q67">
        <v>3</v>
      </c>
      <c r="R67" t="s">
        <v>421</v>
      </c>
    </row>
    <row r="68" spans="1:18" x14ac:dyDescent="0.3">
      <c r="A68" t="b">
        <f t="shared" si="3"/>
        <v>0</v>
      </c>
      <c r="B68" t="b">
        <f t="shared" si="4"/>
        <v>0</v>
      </c>
      <c r="C68">
        <v>7133</v>
      </c>
      <c r="D68" s="16" t="s">
        <v>708</v>
      </c>
      <c r="E68" t="s">
        <v>615</v>
      </c>
      <c r="F68">
        <f t="shared" si="5"/>
        <v>7132</v>
      </c>
      <c r="G68">
        <v>7132</v>
      </c>
      <c r="I68" t="s">
        <v>938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938</v>
      </c>
      <c r="P68">
        <v>7132</v>
      </c>
      <c r="Q68">
        <v>3</v>
      </c>
      <c r="R68" t="s">
        <v>421</v>
      </c>
    </row>
    <row r="69" spans="1:18" x14ac:dyDescent="0.3">
      <c r="A69" t="b">
        <f t="shared" si="3"/>
        <v>0</v>
      </c>
      <c r="B69" t="b">
        <f t="shared" si="4"/>
        <v>0</v>
      </c>
      <c r="C69">
        <v>7135</v>
      </c>
      <c r="D69" s="16" t="s">
        <v>709</v>
      </c>
      <c r="E69" t="s">
        <v>616</v>
      </c>
      <c r="F69">
        <f t="shared" si="5"/>
        <v>7134</v>
      </c>
      <c r="G69">
        <v>7134</v>
      </c>
      <c r="I69" t="s">
        <v>939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939</v>
      </c>
      <c r="P69">
        <v>7134</v>
      </c>
      <c r="Q69">
        <v>3</v>
      </c>
      <c r="R69" t="s">
        <v>421</v>
      </c>
    </row>
    <row r="70" spans="1:18" x14ac:dyDescent="0.3">
      <c r="A70" t="b">
        <f t="shared" si="3"/>
        <v>0</v>
      </c>
      <c r="B70" t="b">
        <f t="shared" si="4"/>
        <v>0</v>
      </c>
      <c r="C70">
        <v>7137</v>
      </c>
      <c r="D70" s="16" t="s">
        <v>710</v>
      </c>
      <c r="E70" t="s">
        <v>617</v>
      </c>
      <c r="F70">
        <f t="shared" si="5"/>
        <v>7136</v>
      </c>
      <c r="G70">
        <v>7136</v>
      </c>
      <c r="I70" t="s">
        <v>940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940</v>
      </c>
      <c r="P70">
        <v>7136</v>
      </c>
      <c r="Q70">
        <v>3</v>
      </c>
      <c r="R70" t="s">
        <v>421</v>
      </c>
    </row>
    <row r="71" spans="1:18" x14ac:dyDescent="0.3">
      <c r="A71" t="b">
        <f t="shared" si="3"/>
        <v>0</v>
      </c>
      <c r="B71" t="b">
        <f t="shared" si="4"/>
        <v>0</v>
      </c>
      <c r="C71">
        <v>7139</v>
      </c>
      <c r="D71" s="16" t="s">
        <v>711</v>
      </c>
      <c r="E71" t="s">
        <v>618</v>
      </c>
      <c r="F71">
        <f t="shared" si="5"/>
        <v>7138</v>
      </c>
      <c r="G71">
        <v>7138</v>
      </c>
      <c r="I71" t="s">
        <v>941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941</v>
      </c>
      <c r="P71">
        <v>7138</v>
      </c>
      <c r="Q71">
        <v>3</v>
      </c>
      <c r="R71" t="s">
        <v>421</v>
      </c>
    </row>
    <row r="72" spans="1:18" x14ac:dyDescent="0.3">
      <c r="A72" t="b">
        <f t="shared" si="3"/>
        <v>0</v>
      </c>
      <c r="B72" t="b">
        <f t="shared" si="4"/>
        <v>0</v>
      </c>
      <c r="C72">
        <v>7141</v>
      </c>
      <c r="D72" s="16" t="s">
        <v>712</v>
      </c>
      <c r="E72" t="s">
        <v>619</v>
      </c>
      <c r="F72">
        <f t="shared" si="5"/>
        <v>7140</v>
      </c>
      <c r="G72">
        <v>7140</v>
      </c>
      <c r="I72" t="s">
        <v>942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942</v>
      </c>
      <c r="P72">
        <v>7140</v>
      </c>
      <c r="Q72">
        <v>3</v>
      </c>
      <c r="R72" t="s">
        <v>421</v>
      </c>
    </row>
    <row r="73" spans="1:18" x14ac:dyDescent="0.3">
      <c r="A73" t="b">
        <f t="shared" si="3"/>
        <v>0</v>
      </c>
      <c r="B73" t="b">
        <f t="shared" si="4"/>
        <v>0</v>
      </c>
      <c r="C73">
        <v>7143</v>
      </c>
      <c r="D73" s="16" t="s">
        <v>713</v>
      </c>
      <c r="E73" t="s">
        <v>620</v>
      </c>
      <c r="F73">
        <f t="shared" si="5"/>
        <v>7142</v>
      </c>
      <c r="G73">
        <v>7142</v>
      </c>
      <c r="I73" t="s">
        <v>943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943</v>
      </c>
      <c r="P73">
        <v>7142</v>
      </c>
      <c r="Q73">
        <v>3</v>
      </c>
      <c r="R73" t="s">
        <v>421</v>
      </c>
    </row>
    <row r="74" spans="1:18" x14ac:dyDescent="0.3">
      <c r="A74" t="b">
        <f t="shared" si="3"/>
        <v>0</v>
      </c>
      <c r="B74" t="b">
        <f t="shared" si="4"/>
        <v>0</v>
      </c>
      <c r="C74">
        <v>7145</v>
      </c>
      <c r="D74" s="16" t="s">
        <v>714</v>
      </c>
      <c r="E74" t="s">
        <v>621</v>
      </c>
      <c r="F74">
        <f t="shared" si="5"/>
        <v>7144</v>
      </c>
      <c r="G74">
        <v>7144</v>
      </c>
      <c r="I74" t="s">
        <v>944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944</v>
      </c>
      <c r="P74">
        <v>7144</v>
      </c>
      <c r="Q74">
        <v>3</v>
      </c>
      <c r="R74" t="s">
        <v>421</v>
      </c>
    </row>
    <row r="75" spans="1:18" x14ac:dyDescent="0.3">
      <c r="A75" t="str">
        <f t="shared" si="3"/>
        <v>Ex_BT_Total_kWh</v>
      </c>
      <c r="B75">
        <f t="shared" si="4"/>
        <v>73</v>
      </c>
      <c r="C75">
        <v>7147</v>
      </c>
      <c r="D75" s="16" t="s">
        <v>715</v>
      </c>
      <c r="E75" t="s">
        <v>622</v>
      </c>
      <c r="F75">
        <f t="shared" si="5"/>
        <v>7146</v>
      </c>
      <c r="G75">
        <v>7146</v>
      </c>
      <c r="H75" t="s">
        <v>1018</v>
      </c>
      <c r="I75" t="s">
        <v>945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945</v>
      </c>
      <c r="P75">
        <v>7146</v>
      </c>
      <c r="Q75">
        <v>3</v>
      </c>
      <c r="R75" t="s">
        <v>421</v>
      </c>
    </row>
    <row r="76" spans="1:18" x14ac:dyDescent="0.3">
      <c r="A76" t="str">
        <f t="shared" si="3"/>
        <v>Ex_BT_kWhA</v>
      </c>
      <c r="B76">
        <f t="shared" si="4"/>
        <v>74</v>
      </c>
      <c r="C76">
        <v>7149</v>
      </c>
      <c r="D76" s="16" t="s">
        <v>716</v>
      </c>
      <c r="E76" t="s">
        <v>623</v>
      </c>
      <c r="F76">
        <f t="shared" si="5"/>
        <v>7148</v>
      </c>
      <c r="G76">
        <v>7148</v>
      </c>
      <c r="H76" t="s">
        <v>1018</v>
      </c>
      <c r="I76" t="s">
        <v>946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946</v>
      </c>
      <c r="P76">
        <v>7148</v>
      </c>
      <c r="Q76">
        <v>3</v>
      </c>
      <c r="R76" t="s">
        <v>421</v>
      </c>
    </row>
    <row r="77" spans="1:18" x14ac:dyDescent="0.3">
      <c r="A77" t="str">
        <f t="shared" si="3"/>
        <v>Ex_BT_kWhB</v>
      </c>
      <c r="B77">
        <f t="shared" si="4"/>
        <v>75</v>
      </c>
      <c r="C77">
        <v>7151</v>
      </c>
      <c r="D77" s="16" t="s">
        <v>717</v>
      </c>
      <c r="E77" t="s">
        <v>624</v>
      </c>
      <c r="F77">
        <f t="shared" si="5"/>
        <v>7150</v>
      </c>
      <c r="G77">
        <v>7150</v>
      </c>
      <c r="H77" t="s">
        <v>1018</v>
      </c>
      <c r="I77" t="s">
        <v>947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947</v>
      </c>
      <c r="P77">
        <v>7150</v>
      </c>
      <c r="Q77">
        <v>3</v>
      </c>
      <c r="R77" t="s">
        <v>421</v>
      </c>
    </row>
    <row r="78" spans="1:18" x14ac:dyDescent="0.3">
      <c r="A78" t="str">
        <f t="shared" si="3"/>
        <v>Ex_BT_kWhC</v>
      </c>
      <c r="B78">
        <f t="shared" si="4"/>
        <v>76</v>
      </c>
      <c r="C78">
        <v>7153</v>
      </c>
      <c r="D78" s="16" t="s">
        <v>718</v>
      </c>
      <c r="E78" t="s">
        <v>625</v>
      </c>
      <c r="F78">
        <f t="shared" si="5"/>
        <v>7152</v>
      </c>
      <c r="G78">
        <v>7152</v>
      </c>
      <c r="H78" t="s">
        <v>1018</v>
      </c>
      <c r="I78" t="s">
        <v>948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948</v>
      </c>
      <c r="P78">
        <v>7152</v>
      </c>
      <c r="Q78">
        <v>3</v>
      </c>
      <c r="R78" t="s">
        <v>421</v>
      </c>
    </row>
    <row r="79" spans="1:18" x14ac:dyDescent="0.3">
      <c r="A79" t="b">
        <f t="shared" si="3"/>
        <v>0</v>
      </c>
      <c r="B79" t="b">
        <f t="shared" si="4"/>
        <v>0</v>
      </c>
      <c r="C79">
        <v>7155</v>
      </c>
      <c r="D79" s="16" t="s">
        <v>719</v>
      </c>
      <c r="E79" t="s">
        <v>626</v>
      </c>
      <c r="F79">
        <f t="shared" si="5"/>
        <v>7154</v>
      </c>
      <c r="G79">
        <v>7154</v>
      </c>
      <c r="I79" t="s">
        <v>949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949</v>
      </c>
      <c r="P79">
        <v>7154</v>
      </c>
      <c r="Q79">
        <v>3</v>
      </c>
      <c r="R79" t="s">
        <v>421</v>
      </c>
    </row>
    <row r="80" spans="1:18" x14ac:dyDescent="0.3">
      <c r="A80" t="b">
        <f t="shared" si="3"/>
        <v>0</v>
      </c>
      <c r="B80" t="b">
        <f t="shared" si="4"/>
        <v>0</v>
      </c>
      <c r="C80">
        <v>7157</v>
      </c>
      <c r="D80" s="16" t="s">
        <v>720</v>
      </c>
      <c r="E80" t="s">
        <v>627</v>
      </c>
      <c r="F80">
        <f t="shared" si="5"/>
        <v>7156</v>
      </c>
      <c r="G80">
        <v>7156</v>
      </c>
      <c r="I80" t="s">
        <v>950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950</v>
      </c>
      <c r="P80">
        <v>7156</v>
      </c>
      <c r="Q80">
        <v>3</v>
      </c>
      <c r="R80" t="s">
        <v>421</v>
      </c>
    </row>
    <row r="81" spans="1:18" x14ac:dyDescent="0.3">
      <c r="A81" t="b">
        <f t="shared" si="3"/>
        <v>0</v>
      </c>
      <c r="B81" t="b">
        <f t="shared" si="4"/>
        <v>0</v>
      </c>
      <c r="C81">
        <v>7159</v>
      </c>
      <c r="D81" s="16" t="s">
        <v>721</v>
      </c>
      <c r="E81" t="s">
        <v>628</v>
      </c>
      <c r="F81">
        <f t="shared" si="5"/>
        <v>7158</v>
      </c>
      <c r="G81">
        <v>7158</v>
      </c>
      <c r="I81" t="s">
        <v>951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951</v>
      </c>
      <c r="P81">
        <v>7158</v>
      </c>
      <c r="Q81">
        <v>3</v>
      </c>
      <c r="R81" t="s">
        <v>421</v>
      </c>
    </row>
    <row r="82" spans="1:18" x14ac:dyDescent="0.3">
      <c r="A82" t="b">
        <f t="shared" si="3"/>
        <v>0</v>
      </c>
      <c r="B82" t="b">
        <f t="shared" si="4"/>
        <v>0</v>
      </c>
      <c r="C82">
        <v>7161</v>
      </c>
      <c r="D82" s="16" t="s">
        <v>722</v>
      </c>
      <c r="E82" t="s">
        <v>629</v>
      </c>
      <c r="F82">
        <f t="shared" si="5"/>
        <v>7160</v>
      </c>
      <c r="G82">
        <v>7160</v>
      </c>
      <c r="I82" t="s">
        <v>932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932</v>
      </c>
      <c r="P82">
        <v>7160</v>
      </c>
      <c r="Q82">
        <v>3</v>
      </c>
      <c r="R82" t="s">
        <v>421</v>
      </c>
    </row>
    <row r="83" spans="1:18" x14ac:dyDescent="0.3">
      <c r="A83" t="b">
        <f t="shared" si="3"/>
        <v>0</v>
      </c>
      <c r="B83" t="b">
        <f t="shared" si="4"/>
        <v>0</v>
      </c>
      <c r="C83">
        <v>7163</v>
      </c>
      <c r="D83" s="16" t="s">
        <v>723</v>
      </c>
      <c r="E83" t="s">
        <v>630</v>
      </c>
      <c r="F83">
        <f t="shared" si="5"/>
        <v>7162</v>
      </c>
      <c r="G83">
        <v>7162</v>
      </c>
      <c r="I83" t="s">
        <v>933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933</v>
      </c>
      <c r="P83">
        <v>7162</v>
      </c>
      <c r="Q83">
        <v>3</v>
      </c>
      <c r="R83" t="s">
        <v>421</v>
      </c>
    </row>
    <row r="84" spans="1:18" x14ac:dyDescent="0.3">
      <c r="A84" t="b">
        <f t="shared" si="3"/>
        <v>0</v>
      </c>
      <c r="B84" t="b">
        <f t="shared" si="4"/>
        <v>0</v>
      </c>
      <c r="C84">
        <v>7165</v>
      </c>
      <c r="D84" s="16" t="s">
        <v>724</v>
      </c>
      <c r="E84" t="s">
        <v>631</v>
      </c>
      <c r="F84">
        <f t="shared" si="5"/>
        <v>7164</v>
      </c>
      <c r="G84">
        <v>7164</v>
      </c>
      <c r="I84" t="s">
        <v>934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934</v>
      </c>
      <c r="P84">
        <v>7164</v>
      </c>
      <c r="Q84">
        <v>3</v>
      </c>
      <c r="R84" t="s">
        <v>421</v>
      </c>
    </row>
    <row r="85" spans="1:18" x14ac:dyDescent="0.3">
      <c r="A85" t="b">
        <f t="shared" si="3"/>
        <v>0</v>
      </c>
      <c r="B85" t="b">
        <f t="shared" si="4"/>
        <v>0</v>
      </c>
      <c r="C85">
        <v>7167</v>
      </c>
      <c r="D85" s="16" t="s">
        <v>675</v>
      </c>
      <c r="E85" t="s">
        <v>917</v>
      </c>
      <c r="F85">
        <f t="shared" si="5"/>
        <v>7166</v>
      </c>
      <c r="G85">
        <v>7166</v>
      </c>
      <c r="I85" t="s">
        <v>955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955</v>
      </c>
      <c r="P85">
        <v>7166</v>
      </c>
      <c r="Q85">
        <v>3</v>
      </c>
      <c r="R85" t="s">
        <v>421</v>
      </c>
    </row>
    <row r="86" spans="1:18" x14ac:dyDescent="0.3">
      <c r="A86" t="b">
        <f t="shared" si="3"/>
        <v>0</v>
      </c>
      <c r="B86" t="b">
        <f t="shared" si="4"/>
        <v>0</v>
      </c>
      <c r="C86">
        <v>7169</v>
      </c>
      <c r="D86" s="16" t="s">
        <v>726</v>
      </c>
      <c r="E86" t="s">
        <v>633</v>
      </c>
      <c r="F86">
        <f t="shared" si="5"/>
        <v>7168</v>
      </c>
      <c r="G86">
        <v>7168</v>
      </c>
      <c r="I86" t="s">
        <v>956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956</v>
      </c>
      <c r="P86">
        <v>7168</v>
      </c>
      <c r="Q86">
        <v>3</v>
      </c>
      <c r="R86" t="s">
        <v>421</v>
      </c>
    </row>
    <row r="87" spans="1:18" x14ac:dyDescent="0.3">
      <c r="A87" t="b">
        <f t="shared" si="3"/>
        <v>0</v>
      </c>
      <c r="B87" t="b">
        <f t="shared" si="4"/>
        <v>0</v>
      </c>
      <c r="C87">
        <v>7171</v>
      </c>
      <c r="D87" s="16" t="s">
        <v>705</v>
      </c>
      <c r="E87" t="s">
        <v>634</v>
      </c>
      <c r="F87">
        <f t="shared" si="5"/>
        <v>7170</v>
      </c>
      <c r="G87">
        <v>7170</v>
      </c>
      <c r="I87" t="s">
        <v>957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957</v>
      </c>
      <c r="P87">
        <v>7170</v>
      </c>
      <c r="Q87">
        <v>3</v>
      </c>
      <c r="R87" t="s">
        <v>421</v>
      </c>
    </row>
    <row r="88" spans="1:18" x14ac:dyDescent="0.3">
      <c r="A88" t="str">
        <f t="shared" si="3"/>
        <v>Ex_total_kWh</v>
      </c>
      <c r="B88">
        <f t="shared" si="4"/>
        <v>86</v>
      </c>
      <c r="C88">
        <v>7173</v>
      </c>
      <c r="D88" s="16" t="s">
        <v>727</v>
      </c>
      <c r="E88" t="s">
        <v>635</v>
      </c>
      <c r="F88">
        <f t="shared" si="5"/>
        <v>7172</v>
      </c>
      <c r="G88">
        <v>7172</v>
      </c>
      <c r="H88" t="s">
        <v>1018</v>
      </c>
      <c r="I88" t="s">
        <v>1096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1096</v>
      </c>
      <c r="P88">
        <v>7172</v>
      </c>
      <c r="Q88">
        <v>3</v>
      </c>
      <c r="R88" t="s">
        <v>421</v>
      </c>
    </row>
    <row r="89" spans="1:18" x14ac:dyDescent="0.3">
      <c r="A89" t="e">
        <f t="shared" si="3"/>
        <v>#N/A</v>
      </c>
      <c r="B89" t="e">
        <f t="shared" si="4"/>
        <v>#N/A</v>
      </c>
      <c r="C89">
        <v>7175</v>
      </c>
      <c r="D89" s="16" t="s">
        <v>728</v>
      </c>
      <c r="E89" t="s">
        <v>636</v>
      </c>
      <c r="F89">
        <f t="shared" si="5"/>
        <v>7174</v>
      </c>
      <c r="G89">
        <v>7180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t="e">
        <f t="shared" si="3"/>
        <v>#N/A</v>
      </c>
      <c r="B90" t="e">
        <f t="shared" si="4"/>
        <v>#N/A</v>
      </c>
      <c r="C90">
        <v>7177</v>
      </c>
      <c r="D90" s="16" t="s">
        <v>729</v>
      </c>
      <c r="E90" t="s">
        <v>637</v>
      </c>
      <c r="F90">
        <f t="shared" si="5"/>
        <v>7176</v>
      </c>
      <c r="G90">
        <v>7256</v>
      </c>
      <c r="H90" t="s">
        <v>1018</v>
      </c>
      <c r="I90" t="s">
        <v>1097</v>
      </c>
      <c r="J90">
        <v>88</v>
      </c>
      <c r="K90" t="s">
        <v>380</v>
      </c>
      <c r="L90" t="s">
        <v>381</v>
      </c>
      <c r="M90">
        <v>1E-3</v>
      </c>
      <c r="N90">
        <v>0</v>
      </c>
      <c r="O90" t="s">
        <v>1098</v>
      </c>
      <c r="P90">
        <v>7256</v>
      </c>
      <c r="Q90">
        <v>3</v>
      </c>
      <c r="R90" t="s">
        <v>421</v>
      </c>
    </row>
    <row r="91" spans="1:18" x14ac:dyDescent="0.3">
      <c r="A91" t="b">
        <f t="shared" si="3"/>
        <v>0</v>
      </c>
      <c r="B91" t="b">
        <f t="shared" si="4"/>
        <v>0</v>
      </c>
      <c r="C91">
        <v>7181</v>
      </c>
      <c r="D91" s="16" t="s">
        <v>730</v>
      </c>
      <c r="E91" t="s">
        <v>638</v>
      </c>
      <c r="F91">
        <f t="shared" si="5"/>
        <v>7180</v>
      </c>
      <c r="G91">
        <v>7250</v>
      </c>
      <c r="H91" t="s">
        <v>1018</v>
      </c>
      <c r="I91" t="s">
        <v>1099</v>
      </c>
      <c r="J91">
        <v>89</v>
      </c>
      <c r="K91" t="s">
        <v>380</v>
      </c>
      <c r="L91" t="s">
        <v>381</v>
      </c>
      <c r="M91">
        <v>1E-3</v>
      </c>
      <c r="N91">
        <v>0</v>
      </c>
      <c r="O91" t="s">
        <v>1100</v>
      </c>
      <c r="P91">
        <v>7250</v>
      </c>
      <c r="Q91">
        <v>3</v>
      </c>
      <c r="R91" t="s">
        <v>421</v>
      </c>
    </row>
    <row r="92" spans="1:18" x14ac:dyDescent="0.3">
      <c r="A92" t="e">
        <f t="shared" si="3"/>
        <v>#N/A</v>
      </c>
      <c r="B92" t="e">
        <f t="shared" si="4"/>
        <v>#N/A</v>
      </c>
      <c r="C92">
        <v>7183</v>
      </c>
      <c r="D92" s="16" t="s">
        <v>639</v>
      </c>
      <c r="E92" t="s">
        <v>640</v>
      </c>
      <c r="F92">
        <f t="shared" si="5"/>
        <v>7182</v>
      </c>
      <c r="G92">
        <v>7252</v>
      </c>
      <c r="H92" t="s">
        <v>1018</v>
      </c>
      <c r="I92" t="s">
        <v>1101</v>
      </c>
      <c r="J92">
        <v>90</v>
      </c>
      <c r="K92" t="s">
        <v>380</v>
      </c>
      <c r="L92" t="s">
        <v>381</v>
      </c>
      <c r="M92">
        <v>1E-3</v>
      </c>
      <c r="N92">
        <v>0</v>
      </c>
      <c r="O92" t="s">
        <v>1102</v>
      </c>
      <c r="P92">
        <v>7252</v>
      </c>
      <c r="Q92">
        <v>3</v>
      </c>
      <c r="R92" t="s">
        <v>421</v>
      </c>
    </row>
    <row r="93" spans="1:18" x14ac:dyDescent="0.3">
      <c r="A93" t="e">
        <f t="shared" si="3"/>
        <v>#N/A</v>
      </c>
      <c r="B93" t="e">
        <f t="shared" si="4"/>
        <v>#N/A</v>
      </c>
      <c r="C93">
        <v>7185</v>
      </c>
      <c r="D93" s="16" t="s">
        <v>731</v>
      </c>
      <c r="E93" t="s">
        <v>641</v>
      </c>
      <c r="F93">
        <f t="shared" si="5"/>
        <v>7184</v>
      </c>
      <c r="G93">
        <v>7254</v>
      </c>
      <c r="H93" t="s">
        <v>1018</v>
      </c>
      <c r="I93" t="s">
        <v>1103</v>
      </c>
      <c r="J93">
        <v>91</v>
      </c>
      <c r="K93" t="s">
        <v>380</v>
      </c>
      <c r="L93" t="s">
        <v>381</v>
      </c>
      <c r="M93">
        <v>1E-3</v>
      </c>
      <c r="N93">
        <v>0</v>
      </c>
      <c r="O93" t="s">
        <v>1104</v>
      </c>
      <c r="P93">
        <v>7254</v>
      </c>
      <c r="Q93">
        <v>3</v>
      </c>
      <c r="R93" t="s">
        <v>421</v>
      </c>
    </row>
    <row r="94" spans="1:18" x14ac:dyDescent="0.3">
      <c r="A94" t="e">
        <f t="shared" si="3"/>
        <v>#N/A</v>
      </c>
      <c r="B94" t="e">
        <f t="shared" si="4"/>
        <v>#N/A</v>
      </c>
      <c r="C94">
        <v>7189</v>
      </c>
      <c r="D94" s="16" t="s">
        <v>732</v>
      </c>
      <c r="E94" t="s">
        <v>642</v>
      </c>
      <c r="F94">
        <f t="shared" si="5"/>
        <v>7188</v>
      </c>
    </row>
    <row r="95" spans="1:18" x14ac:dyDescent="0.3">
      <c r="A95" t="e">
        <f t="shared" si="3"/>
        <v>#N/A</v>
      </c>
      <c r="B95" t="e">
        <f t="shared" si="4"/>
        <v>#N/A</v>
      </c>
      <c r="C95">
        <v>7193</v>
      </c>
      <c r="D95" s="16" t="s">
        <v>733</v>
      </c>
      <c r="E95" t="s">
        <v>643</v>
      </c>
      <c r="F95">
        <f t="shared" si="5"/>
        <v>7192</v>
      </c>
    </row>
    <row r="96" spans="1:18" x14ac:dyDescent="0.3">
      <c r="B96" t="e">
        <f t="shared" si="4"/>
        <v>#N/A</v>
      </c>
      <c r="C96">
        <v>7300</v>
      </c>
      <c r="D96" s="16" t="s">
        <v>1029</v>
      </c>
      <c r="E96" t="s">
        <v>1073</v>
      </c>
    </row>
    <row r="97" spans="2:5" x14ac:dyDescent="0.3">
      <c r="B97" t="e">
        <f t="shared" si="4"/>
        <v>#N/A</v>
      </c>
      <c r="C97">
        <v>7400</v>
      </c>
      <c r="D97" s="16" t="s">
        <v>644</v>
      </c>
      <c r="E97" t="s">
        <v>1081</v>
      </c>
    </row>
    <row r="98" spans="2:5" x14ac:dyDescent="0.3">
      <c r="B98" t="e">
        <f t="shared" si="4"/>
        <v>#N/A</v>
      </c>
      <c r="C98">
        <v>7207</v>
      </c>
      <c r="D98" s="16" t="s">
        <v>1070</v>
      </c>
      <c r="E98" t="s">
        <v>1082</v>
      </c>
    </row>
    <row r="99" spans="2:5" x14ac:dyDescent="0.3">
      <c r="B99" t="e">
        <f t="shared" si="4"/>
        <v>#N/A</v>
      </c>
      <c r="C99">
        <v>7209</v>
      </c>
      <c r="D99" s="16" t="s">
        <v>639</v>
      </c>
      <c r="E99" t="s">
        <v>1083</v>
      </c>
    </row>
    <row r="100" spans="2:5" x14ac:dyDescent="0.3">
      <c r="B100" t="e">
        <f t="shared" si="4"/>
        <v>#N/A</v>
      </c>
      <c r="C100">
        <v>7251</v>
      </c>
      <c r="D100" s="16" t="s">
        <v>1088</v>
      </c>
      <c r="E100" t="s">
        <v>1084</v>
      </c>
    </row>
    <row r="101" spans="2:5" x14ac:dyDescent="0.3">
      <c r="B101" t="e">
        <f t="shared" si="4"/>
        <v>#N/A</v>
      </c>
      <c r="C101">
        <v>7253</v>
      </c>
      <c r="D101" s="16" t="s">
        <v>1089</v>
      </c>
      <c r="E101" t="s">
        <v>1085</v>
      </c>
    </row>
    <row r="102" spans="2:5" x14ac:dyDescent="0.3">
      <c r="B102" t="e">
        <f t="shared" si="4"/>
        <v>#N/A</v>
      </c>
      <c r="C102">
        <v>7255</v>
      </c>
      <c r="D102" s="16" t="s">
        <v>1090</v>
      </c>
      <c r="E102" t="s">
        <v>1086</v>
      </c>
    </row>
    <row r="103" spans="2:5" x14ac:dyDescent="0.3">
      <c r="B103" t="e">
        <f t="shared" si="4"/>
        <v>#N/A</v>
      </c>
      <c r="C103">
        <v>7257</v>
      </c>
      <c r="D103" s="16" t="s">
        <v>727</v>
      </c>
      <c r="E103" t="s">
        <v>1087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9EED-FF2F-4F4D-BC7D-37FED10765D5}">
  <dimension ref="A1:K16"/>
  <sheetViews>
    <sheetView zoomScale="115" zoomScaleNormal="115" workbookViewId="0">
      <selection activeCell="I15" sqref="I15"/>
    </sheetView>
  </sheetViews>
  <sheetFormatPr defaultRowHeight="16.5" x14ac:dyDescent="0.3"/>
  <cols>
    <col min="1" max="1" width="17.25" bestFit="1" customWidth="1"/>
    <col min="3" max="4" width="9.25" customWidth="1"/>
    <col min="5" max="5" width="13.375" bestFit="1" customWidth="1"/>
    <col min="6" max="6" width="13.375" customWidth="1"/>
    <col min="7" max="7" width="14.375" bestFit="1" customWidth="1"/>
  </cols>
  <sheetData>
    <row r="1" spans="1:11" x14ac:dyDescent="0.3">
      <c r="C1" s="2" t="s">
        <v>19</v>
      </c>
      <c r="D1" s="2" t="s">
        <v>95</v>
      </c>
      <c r="E1" s="2" t="s">
        <v>64</v>
      </c>
      <c r="F1" s="2" t="s">
        <v>95</v>
      </c>
      <c r="G1" s="2" t="s">
        <v>63</v>
      </c>
      <c r="H1" s="2" t="s">
        <v>95</v>
      </c>
      <c r="K1" s="4"/>
    </row>
    <row r="2" spans="1:11" x14ac:dyDescent="0.3">
      <c r="A2" s="6" t="s">
        <v>0</v>
      </c>
      <c r="B2" s="2" t="s">
        <v>33</v>
      </c>
      <c r="C2">
        <f>COUNTIFS('IP List'!$B$3:$B$216,Check!$B2,'IP List'!$E$3:$E$216,Check!C$1)</f>
        <v>6</v>
      </c>
      <c r="D2" t="b">
        <f>VLOOKUP($A2,'Device list'!$B$5:$N$19,'Device list'!E$1,0)=C2</f>
        <v>1</v>
      </c>
      <c r="E2">
        <f>COUNTIFS('IP List'!$B$3:$B$216,Check!$B2,'IP List'!$E$3:$E$216,Check!E$1)</f>
        <v>6</v>
      </c>
      <c r="F2" t="b">
        <f>VLOOKUP($A2,'Device list'!$B$5:$N$19,'Device list'!K$1,0)=E2</f>
        <v>0</v>
      </c>
      <c r="G2">
        <f>COUNTIFS('IP List'!$B$3:$B$216,Check!$B2,'IP List'!$E$3:$E$216,Check!G$1)</f>
        <v>0</v>
      </c>
      <c r="H2" t="b">
        <f>VLOOKUP($A2,'Device list'!$B$5:$N$19,'Device list'!L$1,0)=G2</f>
        <v>0</v>
      </c>
      <c r="K2" s="4"/>
    </row>
    <row r="3" spans="1:11" x14ac:dyDescent="0.3">
      <c r="A3" s="6" t="s">
        <v>1</v>
      </c>
      <c r="B3" s="2" t="s">
        <v>41</v>
      </c>
      <c r="C3">
        <f>COUNTIFS('IP List'!$B$3:$B$216,Check!$B3,'IP List'!$E$3:$E$216,Check!C$1)</f>
        <v>11</v>
      </c>
      <c r="D3" t="b">
        <f>VLOOKUP($A3,'Device list'!$B$5:$N$19,'Device list'!E$1,0)=C3</f>
        <v>1</v>
      </c>
      <c r="E3">
        <f>COUNTIFS('IP List'!$B$3:$B$216,Check!$B3,'IP List'!$E$3:$E$216,Check!E$1)</f>
        <v>3</v>
      </c>
      <c r="F3" t="b">
        <f>VLOOKUP($A3,'Device list'!$B$5:$N$19,'Device list'!K$1,0)=E3</f>
        <v>0</v>
      </c>
      <c r="G3">
        <f>COUNTIFS('IP List'!$B$3:$B$216,Check!$B3,'IP List'!$E$3:$E$216,Check!G$1)</f>
        <v>1</v>
      </c>
      <c r="H3" t="b">
        <f>VLOOKUP($A3,'Device list'!$B$5:$N$19,'Device list'!L$1,0)=G3</f>
        <v>0</v>
      </c>
      <c r="K3" s="4"/>
    </row>
    <row r="4" spans="1:11" x14ac:dyDescent="0.3">
      <c r="A4" s="6" t="s">
        <v>2</v>
      </c>
      <c r="B4" s="2" t="s">
        <v>2</v>
      </c>
      <c r="C4">
        <f>COUNTIFS('IP List'!$B$3:$B$216,Check!$B4,'IP List'!$E$3:$E$216,Check!C$1)</f>
        <v>1</v>
      </c>
      <c r="D4" t="b">
        <f>VLOOKUP($A4,'Device list'!$B$5:$N$19,'Device list'!E$1,0)=C4</f>
        <v>1</v>
      </c>
      <c r="E4">
        <f>COUNTIFS('IP List'!$B$3:$B$216,Check!$B4,'IP List'!$E$3:$E$216,Check!E$1)</f>
        <v>1</v>
      </c>
      <c r="F4" t="b">
        <f>VLOOKUP($A4,'Device list'!$B$5:$N$19,'Device list'!K$1,0)=E4</f>
        <v>0</v>
      </c>
      <c r="G4">
        <f>COUNTIFS('IP List'!$B$3:$B$216,Check!$B4,'IP List'!$E$3:$E$216,Check!G$1)</f>
        <v>0</v>
      </c>
      <c r="H4" t="b">
        <f>VLOOKUP($A4,'Device list'!$B$5:$N$19,'Device list'!L$1,0)=G4</f>
        <v>0</v>
      </c>
    </row>
    <row r="5" spans="1:11" x14ac:dyDescent="0.3">
      <c r="A5" s="6" t="s">
        <v>3</v>
      </c>
      <c r="B5" s="2" t="s">
        <v>53</v>
      </c>
      <c r="C5">
        <f>COUNTIFS('IP List'!$B$3:$B$216,Check!$B5,'IP List'!$E$3:$E$216,Check!C$1)</f>
        <v>7</v>
      </c>
      <c r="D5" t="b">
        <f>VLOOKUP($A5,'Device list'!$B$5:$N$19,'Device list'!E$1,0)=C5</f>
        <v>1</v>
      </c>
      <c r="E5">
        <f>COUNTIFS('IP List'!$B$3:$B$216,Check!$B5,'IP List'!$E$3:$E$216,Check!E$1)</f>
        <v>1</v>
      </c>
      <c r="F5" t="b">
        <f>VLOOKUP($A5,'Device list'!$B$5:$N$19,'Device list'!K$1,0)=E5</f>
        <v>0</v>
      </c>
      <c r="G5">
        <f>COUNTIFS('IP List'!$B$3:$B$216,Check!$B5,'IP List'!$E$3:$E$216,Check!G$1)</f>
        <v>1</v>
      </c>
      <c r="H5" t="b">
        <f>VLOOKUP($A5,'Device list'!$B$5:$N$19,'Device list'!L$1,0)=G5</f>
        <v>1</v>
      </c>
    </row>
    <row r="6" spans="1:11" x14ac:dyDescent="0.3">
      <c r="A6" s="6" t="s">
        <v>4</v>
      </c>
      <c r="B6" s="2" t="s">
        <v>55</v>
      </c>
      <c r="C6">
        <f>COUNTIFS('IP List'!$B$3:$B$216,Check!$B6,'IP List'!$E$3:$E$216,Check!C$1)</f>
        <v>5</v>
      </c>
      <c r="D6" t="b">
        <f>VLOOKUP($A6,'Device list'!$B$5:$N$19,'Device list'!E$1,0)=C6</f>
        <v>1</v>
      </c>
      <c r="E6">
        <f>COUNTIFS('IP List'!$B$3:$B$216,Check!$B6,'IP List'!$E$3:$E$216,Check!E$1)</f>
        <v>4</v>
      </c>
      <c r="F6" t="b">
        <f>VLOOKUP($A6,'Device list'!$B$5:$N$19,'Device list'!K$1,0)=E6</f>
        <v>0</v>
      </c>
      <c r="G6">
        <f>COUNTIFS('IP List'!$B$3:$B$216,Check!$B6,'IP List'!$E$3:$E$216,Check!G$1)</f>
        <v>1</v>
      </c>
      <c r="H6" t="b">
        <f>VLOOKUP($A6,'Device list'!$B$5:$N$19,'Device list'!L$1,0)=G6</f>
        <v>0</v>
      </c>
    </row>
    <row r="7" spans="1:11" x14ac:dyDescent="0.3">
      <c r="A7" s="6" t="s">
        <v>5</v>
      </c>
      <c r="B7" s="2" t="s">
        <v>60</v>
      </c>
      <c r="C7">
        <f>COUNTIFS('IP List'!$B$3:$B$216,Check!$B7,'IP List'!$E$3:$E$216,Check!C$1)</f>
        <v>2</v>
      </c>
      <c r="D7" t="b">
        <f>VLOOKUP($A7,'Device list'!$B$5:$N$19,'Device list'!E$1,0)=C7</f>
        <v>1</v>
      </c>
      <c r="E7">
        <f>COUNTIFS('IP List'!$B$3:$B$216,Check!$B7,'IP List'!$E$3:$E$216,Check!E$1)</f>
        <v>2</v>
      </c>
      <c r="F7" t="b">
        <f>VLOOKUP($A7,'Device list'!$B$5:$N$19,'Device list'!K$1,0)=E7</f>
        <v>0</v>
      </c>
      <c r="G7">
        <f>COUNTIFS('IP List'!$B$3:$B$216,Check!$B7,'IP List'!$E$3:$E$216,Check!G$1)</f>
        <v>0</v>
      </c>
      <c r="H7" t="b">
        <f>VLOOKUP($A7,'Device list'!$B$5:$N$19,'Device list'!L$1,0)=G7</f>
        <v>0</v>
      </c>
    </row>
    <row r="8" spans="1:11" x14ac:dyDescent="0.3">
      <c r="A8" s="6" t="s">
        <v>6</v>
      </c>
      <c r="B8" s="2" t="s">
        <v>62</v>
      </c>
      <c r="C8">
        <f>COUNTIFS('IP List'!$B$3:$B$216,Check!$B8,'IP List'!$E$3:$E$216,Check!C$1)</f>
        <v>1</v>
      </c>
      <c r="D8" t="b">
        <f>VLOOKUP($A8,'Device list'!$B$5:$N$19,'Device list'!E$1,0)=C8</f>
        <v>1</v>
      </c>
      <c r="E8">
        <f>COUNTIFS('IP List'!$B$3:$B$216,Check!$B8,'IP List'!$E$3:$E$216,Check!E$1)</f>
        <v>1</v>
      </c>
      <c r="F8" t="b">
        <f>VLOOKUP($A8,'Device list'!$B$5:$N$19,'Device list'!K$1,0)=E8</f>
        <v>0</v>
      </c>
      <c r="G8">
        <f>COUNTIFS('IP List'!$B$3:$B$216,Check!$B8,'IP List'!$E$3:$E$216,Check!G$1)</f>
        <v>0</v>
      </c>
      <c r="H8" t="b">
        <f>VLOOKUP($A8,'Device list'!$B$5:$N$19,'Device list'!L$1,0)=G8</f>
        <v>0</v>
      </c>
    </row>
    <row r="9" spans="1:11" x14ac:dyDescent="0.3">
      <c r="A9" s="6" t="s">
        <v>7</v>
      </c>
      <c r="B9" s="2" t="s">
        <v>7</v>
      </c>
      <c r="C9">
        <f>COUNTIFS('IP List'!$B$3:$B$216,Check!$B9,'IP List'!$E$3:$E$216,Check!C$1)</f>
        <v>30</v>
      </c>
      <c r="D9" t="b">
        <f>VLOOKUP($A9,'Device list'!$B$5:$N$19,'Device list'!E$1,0)=C9</f>
        <v>1</v>
      </c>
      <c r="E9">
        <f>COUNTIFS('IP List'!$B$3:$B$216,Check!$B9,'IP List'!$E$3:$E$216,Check!E$1)</f>
        <v>2</v>
      </c>
      <c r="F9" t="b">
        <f>VLOOKUP($A9,'Device list'!$B$5:$N$19,'Device list'!K$1,0)=E9</f>
        <v>0</v>
      </c>
      <c r="G9">
        <f>COUNTIFS('IP List'!$B$3:$B$216,Check!$B9,'IP List'!$E$3:$E$216,Check!G$1)</f>
        <v>1</v>
      </c>
      <c r="H9" t="b">
        <f>VLOOKUP($A9,'Device list'!$B$5:$N$19,'Device list'!L$1,0)=G9</f>
        <v>0</v>
      </c>
    </row>
    <row r="10" spans="1:11" x14ac:dyDescent="0.3">
      <c r="A10" s="6" t="s">
        <v>8</v>
      </c>
      <c r="B10" s="2" t="s">
        <v>69</v>
      </c>
      <c r="C10">
        <f>COUNTIFS('IP List'!$B$3:$B$216,Check!$B10,'IP List'!$E$3:$E$216,Check!C$1)</f>
        <v>17</v>
      </c>
      <c r="D10" t="b">
        <f>VLOOKUP($A10,'Device list'!$B$5:$N$19,'Device list'!E$1,0)=C10</f>
        <v>1</v>
      </c>
      <c r="E10">
        <f>COUNTIFS('IP List'!$B$3:$B$216,Check!$B10,'IP List'!$E$3:$E$216,Check!E$1)</f>
        <v>2</v>
      </c>
      <c r="F10" t="b">
        <f>VLOOKUP($A10,'Device list'!$B$5:$N$19,'Device list'!K$1,0)=E10</f>
        <v>0</v>
      </c>
      <c r="G10">
        <f>COUNTIFS('IP List'!$B$3:$B$216,Check!$B10,'IP List'!$E$3:$E$216,Check!G$1)</f>
        <v>1</v>
      </c>
      <c r="H10" t="b">
        <f>VLOOKUP($A10,'Device list'!$B$5:$N$19,'Device list'!L$1,0)=G10</f>
        <v>0</v>
      </c>
    </row>
    <row r="11" spans="1:11" x14ac:dyDescent="0.3">
      <c r="A11" s="6" t="s">
        <v>9</v>
      </c>
      <c r="B11" s="2" t="s">
        <v>9</v>
      </c>
      <c r="C11">
        <f>COUNTIFS('IP List'!$B$3:$B$216,Check!$B11,'IP List'!$E$3:$E$216,Check!C$1)</f>
        <v>31</v>
      </c>
      <c r="D11" t="b">
        <f>VLOOKUP($A11,'Device list'!$B$5:$N$19,'Device list'!E$1,0)=C11</f>
        <v>1</v>
      </c>
      <c r="E11">
        <f>COUNTIFS('IP List'!$B$3:$B$216,Check!$B11,'IP List'!$E$3:$E$216,Check!E$1)</f>
        <v>6</v>
      </c>
      <c r="F11" t="b">
        <f>VLOOKUP($A11,'Device list'!$B$5:$N$19,'Device list'!K$1,0)=E11</f>
        <v>0</v>
      </c>
      <c r="G11">
        <f>COUNTIFS('IP List'!$B$3:$B$216,Check!$B11,'IP List'!$E$3:$E$216,Check!G$1)</f>
        <v>2</v>
      </c>
      <c r="H11" t="b">
        <f>VLOOKUP($A11,'Device list'!$B$5:$N$19,'Device list'!L$1,0)=G11</f>
        <v>0</v>
      </c>
    </row>
    <row r="12" spans="1:11" x14ac:dyDescent="0.3">
      <c r="A12" s="6" t="s">
        <v>10</v>
      </c>
      <c r="B12" s="2" t="s">
        <v>10</v>
      </c>
      <c r="C12">
        <f>COUNTIFS('IP List'!$B$3:$B$216,Check!$B12,'IP List'!$E$3:$E$216,Check!C$1)</f>
        <v>2</v>
      </c>
      <c r="D12" t="b">
        <f>VLOOKUP($A12,'Device list'!$B$5:$N$19,'Device list'!E$1,0)=C12</f>
        <v>1</v>
      </c>
      <c r="E12">
        <f>COUNTIFS('IP List'!$B$3:$B$216,Check!$B12,'IP List'!$E$3:$E$216,Check!E$1)</f>
        <v>1</v>
      </c>
      <c r="F12" t="b">
        <f>VLOOKUP($A12,'Device list'!$B$5:$N$19,'Device list'!K$1,0)=E12</f>
        <v>0</v>
      </c>
      <c r="G12">
        <f>COUNTIFS('IP List'!$B$3:$B$216,Check!$B12,'IP List'!$E$3:$E$216,Check!G$1)</f>
        <v>1</v>
      </c>
      <c r="H12" t="b">
        <f>VLOOKUP($A12,'Device list'!$B$5:$N$19,'Device list'!L$1,0)=G12</f>
        <v>1</v>
      </c>
    </row>
    <row r="13" spans="1:11" x14ac:dyDescent="0.3">
      <c r="A13" s="6" t="s">
        <v>11</v>
      </c>
      <c r="B13" s="2" t="s">
        <v>11</v>
      </c>
      <c r="C13">
        <f>COUNTIFS('IP List'!$B$3:$B$216,Check!$B13,'IP List'!$E$3:$E$216,Check!C$1)</f>
        <v>3</v>
      </c>
      <c r="D13" t="b">
        <f>VLOOKUP($A13,'Device list'!$B$5:$N$19,'Device list'!E$1,0)=C13</f>
        <v>1</v>
      </c>
      <c r="E13">
        <f>COUNTIFS('IP List'!$B$3:$B$216,Check!$B13,'IP List'!$E$3:$E$216,Check!E$1)</f>
        <v>1</v>
      </c>
      <c r="F13" t="b">
        <f>VLOOKUP($A13,'Device list'!$B$5:$N$19,'Device list'!K$1,0)=E13</f>
        <v>0</v>
      </c>
      <c r="G13">
        <f>COUNTIFS('IP List'!$B$3:$B$216,Check!$B13,'IP List'!$E$3:$E$216,Check!G$1)</f>
        <v>1</v>
      </c>
      <c r="H13" t="b">
        <f>VLOOKUP($A13,'Device list'!$B$5:$N$19,'Device list'!L$1,0)=G13</f>
        <v>1</v>
      </c>
    </row>
    <row r="14" spans="1:11" x14ac:dyDescent="0.3">
      <c r="A14" s="6" t="s">
        <v>13</v>
      </c>
      <c r="B14" s="2" t="s">
        <v>82</v>
      </c>
      <c r="C14">
        <f>COUNTIFS('IP List'!$B$3:$B$216,Check!$B14,'IP List'!$E$3:$E$216,Check!C$1)</f>
        <v>9</v>
      </c>
      <c r="D14" t="b">
        <f>VLOOKUP($A14,'Device list'!$B$5:$N$19,'Device list'!E$1,0)=C14</f>
        <v>1</v>
      </c>
      <c r="E14">
        <f>COUNTIFS('IP List'!$B$3:$B$216,Check!$B14,'IP List'!$E$3:$E$216,Check!E$1)</f>
        <v>2</v>
      </c>
      <c r="F14" t="b">
        <f>VLOOKUP($A14,'Device list'!$B$5:$N$19,'Device list'!K$1,0)=E14</f>
        <v>0</v>
      </c>
      <c r="G14">
        <f>COUNTIFS('IP List'!$B$3:$B$216,Check!$B14,'IP List'!$E$3:$E$216,Check!G$1)</f>
        <v>1</v>
      </c>
      <c r="H14" t="b">
        <f>VLOOKUP($A14,'Device list'!$B$5:$N$19,'Device list'!L$1,0)=G14</f>
        <v>0</v>
      </c>
    </row>
    <row r="15" spans="1:11" x14ac:dyDescent="0.3">
      <c r="A15" t="s">
        <v>12</v>
      </c>
      <c r="B15" s="2" t="s">
        <v>12</v>
      </c>
      <c r="C15">
        <f>COUNTIFS('IP List'!$B$3:$B$216,Check!$B15,'IP List'!$E$3:$E$216,Check!C$1)</f>
        <v>14</v>
      </c>
      <c r="D15" t="b">
        <f>VLOOKUP($A15,'Device list'!$B$5:$N$19,'Device list'!E$1,0)=C15</f>
        <v>1</v>
      </c>
      <c r="E15">
        <f>COUNTIFS('IP List'!$B$3:$B$216,Check!$B15,'IP List'!$E$3:$E$216,Check!E$1)</f>
        <v>2</v>
      </c>
      <c r="F15" t="b">
        <f>VLOOKUP($A15,'Device list'!$B$5:$N$19,'Device list'!K$1,0)=E15</f>
        <v>0</v>
      </c>
      <c r="G15">
        <f>COUNTIFS('IP List'!$B$3:$B$216,Check!$B15,'IP List'!$E$3:$E$216,Check!G$1)</f>
        <v>5</v>
      </c>
      <c r="H15" t="b">
        <f>VLOOKUP($A15,'Device list'!$B$5:$N$19,'Device list'!L$1,0)=G15</f>
        <v>0</v>
      </c>
      <c r="I15">
        <f>VLOOKUP($A15,'Device list'!$B$5:$N$19,'Device list'!L$1,0)</f>
        <v>2</v>
      </c>
    </row>
    <row r="16" spans="1:11" x14ac:dyDescent="0.3">
      <c r="A16" t="s">
        <v>14</v>
      </c>
      <c r="B16" s="2" t="s">
        <v>94</v>
      </c>
      <c r="C16">
        <f>COUNTIFS('IP List'!$B$3:$B$216,Check!$B16,'IP List'!$E$3:$E$216,Check!C$1)</f>
        <v>7</v>
      </c>
      <c r="D16" t="b">
        <f>VLOOKUP($A16,'Device list'!$B$5:$N$19,'Device list'!E$1,0)=C16</f>
        <v>1</v>
      </c>
      <c r="E16">
        <f>COUNTIFS('IP List'!$B$3:$B$216,Check!$B16,'IP List'!$E$3:$E$216,Check!E$1)</f>
        <v>2</v>
      </c>
      <c r="F16" t="b">
        <f>VLOOKUP($A16,'Device list'!$B$5:$N$19,'Device list'!K$1,0)=E16</f>
        <v>0</v>
      </c>
      <c r="G16">
        <f>COUNTIFS('IP List'!$B$3:$B$216,Check!$B16,'IP List'!$E$3:$E$216,Check!G$1)</f>
        <v>2</v>
      </c>
      <c r="H16" t="b">
        <f>VLOOKUP($A16,'Device list'!$B$5:$N$19,'Device list'!L$1,0)=G16</f>
        <v>1</v>
      </c>
    </row>
  </sheetData>
  <conditionalFormatting sqref="B2:B16">
    <cfRule type="duplicateValues" dxfId="1" priority="2"/>
  </conditionalFormatting>
  <conditionalFormatting sqref="B189:B1048576 B2:B16">
    <cfRule type="duplicateValues" dxfId="0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3517-D222-40D1-9716-A87C582B570B}">
  <dimension ref="A1:BG104"/>
  <sheetViews>
    <sheetView topLeftCell="AH58" zoomScale="70" zoomScaleNormal="70" workbookViewId="0">
      <selection activeCell="L5" sqref="L5"/>
    </sheetView>
  </sheetViews>
  <sheetFormatPr defaultRowHeight="16.5" x14ac:dyDescent="0.3"/>
  <cols>
    <col min="1" max="1" width="5" style="1" bestFit="1" customWidth="1"/>
    <col min="3" max="3" width="15.875" bestFit="1" customWidth="1"/>
    <col min="4" max="4" width="15.875" style="1" customWidth="1"/>
    <col min="7" max="7" width="15.875" bestFit="1" customWidth="1"/>
    <col min="9" max="9" width="9" style="1"/>
    <col min="12" max="12" width="15.5" bestFit="1" customWidth="1"/>
    <col min="14" max="14" width="9" style="1"/>
    <col min="16" max="16" width="9.125" bestFit="1" customWidth="1"/>
    <col min="17" max="17" width="16.125" bestFit="1" customWidth="1"/>
    <col min="22" max="22" width="15.875" bestFit="1" customWidth="1"/>
    <col min="27" max="27" width="15.875" bestFit="1" customWidth="1"/>
    <col min="32" max="32" width="15.875" bestFit="1" customWidth="1"/>
    <col min="42" max="42" width="18" bestFit="1" customWidth="1"/>
    <col min="47" max="47" width="15.875" bestFit="1" customWidth="1"/>
    <col min="52" max="52" width="15.875" bestFit="1" customWidth="1"/>
    <col min="57" max="57" width="15.5" bestFit="1" customWidth="1"/>
  </cols>
  <sheetData>
    <row r="1" spans="1:59" x14ac:dyDescent="0.3">
      <c r="A1" s="45" t="s">
        <v>1107</v>
      </c>
      <c r="B1" s="45"/>
      <c r="C1" s="45"/>
      <c r="D1" s="45"/>
      <c r="E1" s="45" t="s">
        <v>1022</v>
      </c>
      <c r="F1" s="45"/>
      <c r="G1" s="45"/>
      <c r="H1" s="45"/>
      <c r="I1" s="45"/>
      <c r="J1" s="45" t="s">
        <v>551</v>
      </c>
      <c r="K1" s="45"/>
      <c r="L1" s="45"/>
      <c r="M1" s="45"/>
      <c r="N1" s="45"/>
      <c r="O1" s="45" t="s">
        <v>1108</v>
      </c>
      <c r="P1" s="45"/>
      <c r="Q1" s="45"/>
      <c r="R1" s="45"/>
      <c r="S1" s="45"/>
      <c r="T1" s="45" t="s">
        <v>7</v>
      </c>
      <c r="U1" s="45"/>
      <c r="V1" s="45"/>
      <c r="W1" s="45"/>
      <c r="X1" s="45"/>
      <c r="Y1" s="45" t="s">
        <v>8</v>
      </c>
      <c r="Z1" s="45"/>
      <c r="AA1" s="45"/>
      <c r="AB1" s="45"/>
      <c r="AC1" s="45"/>
      <c r="AD1" s="45" t="s">
        <v>9</v>
      </c>
      <c r="AE1" s="45"/>
      <c r="AF1" s="45"/>
      <c r="AG1" s="45"/>
      <c r="AH1" s="45"/>
      <c r="AI1" s="45" t="s">
        <v>10</v>
      </c>
      <c r="AJ1" s="45"/>
      <c r="AK1" s="45"/>
      <c r="AL1" s="45"/>
      <c r="AM1" s="45"/>
      <c r="AN1" s="45" t="s">
        <v>12</v>
      </c>
      <c r="AO1" s="45"/>
      <c r="AP1" s="45"/>
      <c r="AQ1" s="45"/>
      <c r="AR1" s="45"/>
      <c r="AS1" s="45" t="s">
        <v>11</v>
      </c>
      <c r="AT1" s="45"/>
      <c r="AU1" s="45"/>
      <c r="AV1" s="45"/>
      <c r="AW1" s="45"/>
      <c r="AX1" s="45" t="s">
        <v>13</v>
      </c>
      <c r="AY1" s="45"/>
      <c r="AZ1" s="45"/>
      <c r="BA1" s="45"/>
      <c r="BB1" s="45"/>
      <c r="BC1" s="45" t="s">
        <v>1106</v>
      </c>
      <c r="BD1" s="45"/>
      <c r="BE1" s="45"/>
      <c r="BF1" s="45"/>
      <c r="BG1" s="45"/>
    </row>
    <row r="2" spans="1:59" x14ac:dyDescent="0.3">
      <c r="B2" s="1"/>
      <c r="C2" s="1"/>
      <c r="E2" s="1"/>
      <c r="F2" s="1"/>
      <c r="G2" s="1"/>
      <c r="H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s="30" customFormat="1" x14ac:dyDescent="0.3">
      <c r="A3" s="31">
        <v>7001</v>
      </c>
      <c r="B3" s="32" t="s">
        <v>646</v>
      </c>
      <c r="C3" s="30" t="s">
        <v>552</v>
      </c>
      <c r="D3" s="31">
        <v>0</v>
      </c>
      <c r="E3" s="30">
        <v>7001</v>
      </c>
      <c r="F3" s="30" t="s">
        <v>646</v>
      </c>
      <c r="G3" s="30" t="s">
        <v>552</v>
      </c>
      <c r="H3" s="30" t="b">
        <f>F3=$B3</f>
        <v>1</v>
      </c>
      <c r="I3" s="31">
        <v>0</v>
      </c>
      <c r="J3" s="30">
        <v>7001</v>
      </c>
      <c r="K3" s="30" t="s">
        <v>646</v>
      </c>
      <c r="L3" s="30" t="s">
        <v>552</v>
      </c>
      <c r="M3" s="30" t="b">
        <f>K3=$B3</f>
        <v>1</v>
      </c>
      <c r="N3" s="31">
        <v>0</v>
      </c>
      <c r="O3" s="30">
        <v>7001</v>
      </c>
      <c r="P3" s="32" t="s">
        <v>648</v>
      </c>
      <c r="Q3" s="30" t="s">
        <v>554</v>
      </c>
      <c r="R3" s="30" t="b">
        <f>P3=$B3</f>
        <v>0</v>
      </c>
      <c r="S3" s="30">
        <v>9</v>
      </c>
      <c r="T3" s="30">
        <v>7001</v>
      </c>
      <c r="U3" s="32" t="s">
        <v>646</v>
      </c>
      <c r="V3" s="30" t="s">
        <v>552</v>
      </c>
      <c r="W3" s="30" t="b">
        <f>U3=$B3</f>
        <v>1</v>
      </c>
      <c r="X3" s="30">
        <v>0</v>
      </c>
      <c r="Y3" s="30">
        <v>7001</v>
      </c>
      <c r="Z3" s="32" t="s">
        <v>646</v>
      </c>
      <c r="AA3" s="30" t="s">
        <v>552</v>
      </c>
      <c r="AB3" s="30" t="b">
        <f>Z3=$B3</f>
        <v>1</v>
      </c>
      <c r="AC3" s="30">
        <v>0</v>
      </c>
      <c r="AD3" s="30">
        <v>7001</v>
      </c>
      <c r="AE3" s="32" t="s">
        <v>646</v>
      </c>
      <c r="AF3" s="30" t="s">
        <v>552</v>
      </c>
      <c r="AG3" s="30" t="b">
        <f>AE3=$B3</f>
        <v>1</v>
      </c>
      <c r="AH3" s="30">
        <v>0</v>
      </c>
      <c r="AI3" s="30">
        <v>7001</v>
      </c>
      <c r="AJ3" s="32" t="s">
        <v>646</v>
      </c>
      <c r="AK3" s="30" t="s">
        <v>552</v>
      </c>
      <c r="AL3" s="30" t="b">
        <f>AJ3=$B3</f>
        <v>1</v>
      </c>
      <c r="AM3" s="30">
        <v>0</v>
      </c>
      <c r="AN3" s="30">
        <v>7001</v>
      </c>
      <c r="AO3" s="32" t="s">
        <v>646</v>
      </c>
      <c r="AP3" s="30" t="s">
        <v>552</v>
      </c>
      <c r="AQ3" s="30" t="b">
        <f>AO3=$B3</f>
        <v>1</v>
      </c>
      <c r="AR3" s="30">
        <v>0</v>
      </c>
      <c r="AS3" s="30">
        <v>7001</v>
      </c>
      <c r="AT3" s="30" t="s">
        <v>646</v>
      </c>
      <c r="AU3" s="30" t="s">
        <v>552</v>
      </c>
      <c r="AV3" s="30" t="b">
        <f>AT3=$B3</f>
        <v>1</v>
      </c>
      <c r="AW3" s="30">
        <v>0</v>
      </c>
      <c r="AX3" s="30">
        <v>7001</v>
      </c>
      <c r="AY3" s="32" t="s">
        <v>646</v>
      </c>
      <c r="AZ3" s="30" t="s">
        <v>552</v>
      </c>
      <c r="BA3" s="30" t="b">
        <f>AY3=$B3</f>
        <v>1</v>
      </c>
      <c r="BB3" s="30">
        <v>0</v>
      </c>
      <c r="BC3" s="30">
        <v>7001</v>
      </c>
      <c r="BD3" s="32" t="s">
        <v>646</v>
      </c>
      <c r="BE3" s="30" t="s">
        <v>552</v>
      </c>
      <c r="BF3" s="30" t="b">
        <f>BD3=$B3</f>
        <v>1</v>
      </c>
      <c r="BG3" s="30">
        <v>0</v>
      </c>
    </row>
    <row r="4" spans="1:59" s="30" customFormat="1" x14ac:dyDescent="0.3">
      <c r="A4" s="31">
        <v>7003</v>
      </c>
      <c r="B4" s="32" t="s">
        <v>647</v>
      </c>
      <c r="C4" s="30" t="s">
        <v>553</v>
      </c>
      <c r="D4" s="31">
        <v>1</v>
      </c>
      <c r="E4" s="30">
        <v>7003</v>
      </c>
      <c r="F4" s="30" t="s">
        <v>647</v>
      </c>
      <c r="G4" s="30" t="s">
        <v>553</v>
      </c>
      <c r="H4" s="30" t="b">
        <f t="shared" ref="H4:H67" si="0">F4=$B4</f>
        <v>1</v>
      </c>
      <c r="I4" s="31">
        <v>1</v>
      </c>
      <c r="J4" s="30">
        <v>7003</v>
      </c>
      <c r="K4" s="30" t="s">
        <v>647</v>
      </c>
      <c r="L4" s="30" t="s">
        <v>553</v>
      </c>
      <c r="M4" s="30" t="b">
        <f t="shared" ref="M4:M67" si="1">K4=$B4</f>
        <v>1</v>
      </c>
      <c r="N4" s="31">
        <v>1</v>
      </c>
      <c r="O4" s="30">
        <v>7003</v>
      </c>
      <c r="P4" s="32" t="s">
        <v>738</v>
      </c>
      <c r="Q4" s="30" t="s">
        <v>555</v>
      </c>
      <c r="R4" s="30" t="b">
        <f t="shared" ref="R4:R59" si="2">P4=$B4</f>
        <v>0</v>
      </c>
      <c r="S4" s="30">
        <v>19</v>
      </c>
      <c r="T4" s="30">
        <v>7003</v>
      </c>
      <c r="U4" s="32" t="s">
        <v>647</v>
      </c>
      <c r="V4" s="30" t="s">
        <v>553</v>
      </c>
      <c r="W4" s="30" t="b">
        <f t="shared" ref="W4:W67" si="3">U4=$B4</f>
        <v>1</v>
      </c>
      <c r="X4" s="30">
        <v>1</v>
      </c>
      <c r="Y4" s="30">
        <v>7003</v>
      </c>
      <c r="Z4" s="32" t="s">
        <v>647</v>
      </c>
      <c r="AA4" s="30" t="s">
        <v>553</v>
      </c>
      <c r="AB4" s="30" t="b">
        <f t="shared" ref="AB4:AB67" si="4">Z4=$B4</f>
        <v>1</v>
      </c>
      <c r="AC4" s="30">
        <v>1</v>
      </c>
      <c r="AD4" s="30">
        <v>7003</v>
      </c>
      <c r="AE4" s="32" t="s">
        <v>647</v>
      </c>
      <c r="AF4" s="30" t="s">
        <v>553</v>
      </c>
      <c r="AG4" s="30" t="b">
        <f t="shared" ref="AG4:AG67" si="5">AE4=$B4</f>
        <v>1</v>
      </c>
      <c r="AH4" s="30">
        <v>1</v>
      </c>
      <c r="AI4" s="30">
        <v>7003</v>
      </c>
      <c r="AJ4" s="32" t="s">
        <v>647</v>
      </c>
      <c r="AK4" s="30" t="s">
        <v>553</v>
      </c>
      <c r="AL4" s="30" t="b">
        <f t="shared" ref="AL4:AL67" si="6">AJ4=$B4</f>
        <v>1</v>
      </c>
      <c r="AM4" s="30">
        <v>1</v>
      </c>
      <c r="AN4" s="30">
        <v>7003</v>
      </c>
      <c r="AO4" s="32" t="s">
        <v>647</v>
      </c>
      <c r="AP4" s="30" t="s">
        <v>553</v>
      </c>
      <c r="AQ4" s="30" t="b">
        <f t="shared" ref="AQ4:AQ67" si="7">AO4=$B4</f>
        <v>1</v>
      </c>
      <c r="AR4" s="30">
        <v>1</v>
      </c>
      <c r="AS4" s="30">
        <v>7003</v>
      </c>
      <c r="AT4" s="30" t="s">
        <v>647</v>
      </c>
      <c r="AU4" s="30" t="s">
        <v>553</v>
      </c>
      <c r="AV4" s="30" t="b">
        <f t="shared" ref="AV4:AV67" si="8">AT4=$B4</f>
        <v>1</v>
      </c>
      <c r="AW4" s="30">
        <v>1</v>
      </c>
      <c r="AX4" s="30">
        <v>7003</v>
      </c>
      <c r="AY4" s="32" t="s">
        <v>647</v>
      </c>
      <c r="AZ4" s="30" t="s">
        <v>553</v>
      </c>
      <c r="BA4" s="30" t="b">
        <f t="shared" ref="BA4:BA67" si="9">AY4=$B4</f>
        <v>1</v>
      </c>
      <c r="BB4" s="30">
        <v>1</v>
      </c>
      <c r="BC4" s="30">
        <v>7003</v>
      </c>
      <c r="BD4" s="32" t="s">
        <v>647</v>
      </c>
      <c r="BE4" s="30" t="s">
        <v>553</v>
      </c>
      <c r="BF4" s="30" t="b">
        <f t="shared" ref="BF4:BF67" si="10">BD4=$B4</f>
        <v>1</v>
      </c>
      <c r="BG4" s="30">
        <v>1</v>
      </c>
    </row>
    <row r="5" spans="1:59" s="30" customFormat="1" x14ac:dyDescent="0.3">
      <c r="A5" s="31">
        <v>7005</v>
      </c>
      <c r="B5" s="32" t="s">
        <v>648</v>
      </c>
      <c r="C5" s="30" t="s">
        <v>554</v>
      </c>
      <c r="D5" s="31">
        <v>2</v>
      </c>
      <c r="E5" s="30">
        <v>7005</v>
      </c>
      <c r="F5" s="30" t="s">
        <v>648</v>
      </c>
      <c r="G5" s="30" t="s">
        <v>554</v>
      </c>
      <c r="H5" s="30" t="b">
        <f t="shared" si="0"/>
        <v>1</v>
      </c>
      <c r="I5" s="31">
        <v>2</v>
      </c>
      <c r="J5" s="30">
        <v>7005</v>
      </c>
      <c r="K5" s="30" t="s">
        <v>648</v>
      </c>
      <c r="L5" s="30" t="s">
        <v>554</v>
      </c>
      <c r="M5" s="30" t="b">
        <f t="shared" si="1"/>
        <v>1</v>
      </c>
      <c r="N5" s="31">
        <v>2</v>
      </c>
      <c r="O5" s="30">
        <v>7005</v>
      </c>
      <c r="P5" s="32" t="s">
        <v>739</v>
      </c>
      <c r="Q5" s="30" t="s">
        <v>556</v>
      </c>
      <c r="R5" s="30" t="b">
        <f t="shared" si="2"/>
        <v>0</v>
      </c>
      <c r="S5" s="30">
        <v>20</v>
      </c>
      <c r="T5" s="30">
        <v>7005</v>
      </c>
      <c r="U5" s="32" t="s">
        <v>648</v>
      </c>
      <c r="V5" s="30" t="s">
        <v>554</v>
      </c>
      <c r="W5" s="30" t="b">
        <f t="shared" si="3"/>
        <v>1</v>
      </c>
      <c r="X5" s="30">
        <v>2</v>
      </c>
      <c r="Y5" s="30">
        <v>7005</v>
      </c>
      <c r="Z5" s="32" t="s">
        <v>648</v>
      </c>
      <c r="AA5" s="30" t="s">
        <v>554</v>
      </c>
      <c r="AB5" s="30" t="b">
        <f t="shared" si="4"/>
        <v>1</v>
      </c>
      <c r="AC5" s="30">
        <v>2</v>
      </c>
      <c r="AD5" s="30">
        <v>7005</v>
      </c>
      <c r="AE5" s="32" t="s">
        <v>648</v>
      </c>
      <c r="AF5" s="30" t="s">
        <v>554</v>
      </c>
      <c r="AG5" s="30" t="b">
        <f t="shared" si="5"/>
        <v>1</v>
      </c>
      <c r="AH5" s="30">
        <v>2</v>
      </c>
      <c r="AI5" s="30">
        <v>7005</v>
      </c>
      <c r="AJ5" s="32" t="s">
        <v>648</v>
      </c>
      <c r="AK5" s="30" t="s">
        <v>554</v>
      </c>
      <c r="AL5" s="30" t="b">
        <f t="shared" si="6"/>
        <v>1</v>
      </c>
      <c r="AM5" s="30">
        <v>2</v>
      </c>
      <c r="AN5" s="30">
        <v>7005</v>
      </c>
      <c r="AO5" s="32" t="s">
        <v>648</v>
      </c>
      <c r="AP5" s="30" t="s">
        <v>554</v>
      </c>
      <c r="AQ5" s="30" t="b">
        <f t="shared" si="7"/>
        <v>1</v>
      </c>
      <c r="AR5" s="30">
        <v>2</v>
      </c>
      <c r="AS5" s="30">
        <v>7005</v>
      </c>
      <c r="AT5" s="30" t="s">
        <v>648</v>
      </c>
      <c r="AU5" s="30" t="s">
        <v>554</v>
      </c>
      <c r="AV5" s="30" t="b">
        <f t="shared" si="8"/>
        <v>1</v>
      </c>
      <c r="AW5" s="30">
        <v>2</v>
      </c>
      <c r="AX5" s="30">
        <v>7005</v>
      </c>
      <c r="AY5" s="32" t="s">
        <v>648</v>
      </c>
      <c r="AZ5" s="30" t="s">
        <v>554</v>
      </c>
      <c r="BA5" s="30" t="b">
        <f t="shared" si="9"/>
        <v>1</v>
      </c>
      <c r="BB5" s="30">
        <v>2</v>
      </c>
      <c r="BC5" s="30">
        <v>7005</v>
      </c>
      <c r="BD5" s="32" t="s">
        <v>648</v>
      </c>
      <c r="BE5" s="30" t="s">
        <v>554</v>
      </c>
      <c r="BF5" s="30" t="b">
        <f t="shared" si="10"/>
        <v>1</v>
      </c>
      <c r="BG5" s="30">
        <v>2</v>
      </c>
    </row>
    <row r="6" spans="1:59" s="30" customFormat="1" x14ac:dyDescent="0.3">
      <c r="A6" s="31">
        <v>7007</v>
      </c>
      <c r="B6" s="32" t="s">
        <v>649</v>
      </c>
      <c r="C6" s="30" t="s">
        <v>555</v>
      </c>
      <c r="D6" s="31">
        <v>3</v>
      </c>
      <c r="E6" s="30">
        <v>7007</v>
      </c>
      <c r="F6" s="30" t="s">
        <v>649</v>
      </c>
      <c r="G6" s="30" t="s">
        <v>555</v>
      </c>
      <c r="H6" s="30" t="b">
        <f t="shared" si="0"/>
        <v>1</v>
      </c>
      <c r="I6" s="31">
        <v>3</v>
      </c>
      <c r="J6" s="30">
        <v>7007</v>
      </c>
      <c r="K6" s="30" t="s">
        <v>649</v>
      </c>
      <c r="L6" s="30" t="s">
        <v>555</v>
      </c>
      <c r="M6" s="30" t="b">
        <f t="shared" si="1"/>
        <v>1</v>
      </c>
      <c r="N6" s="31">
        <v>3</v>
      </c>
      <c r="O6" s="30">
        <v>7007</v>
      </c>
      <c r="P6" s="32" t="s">
        <v>740</v>
      </c>
      <c r="Q6" s="30" t="s">
        <v>557</v>
      </c>
      <c r="R6" s="30" t="b">
        <f t="shared" si="2"/>
        <v>0</v>
      </c>
      <c r="S6" s="30">
        <v>21</v>
      </c>
      <c r="T6" s="30">
        <v>7007</v>
      </c>
      <c r="U6" s="32" t="s">
        <v>649</v>
      </c>
      <c r="V6" s="30" t="s">
        <v>555</v>
      </c>
      <c r="W6" s="30" t="b">
        <f t="shared" si="3"/>
        <v>1</v>
      </c>
      <c r="X6" s="30">
        <v>3</v>
      </c>
      <c r="Y6" s="30">
        <v>7007</v>
      </c>
      <c r="Z6" s="32" t="s">
        <v>649</v>
      </c>
      <c r="AA6" s="30" t="s">
        <v>555</v>
      </c>
      <c r="AB6" s="30" t="b">
        <f t="shared" si="4"/>
        <v>1</v>
      </c>
      <c r="AC6" s="30">
        <v>3</v>
      </c>
      <c r="AD6" s="30">
        <v>7007</v>
      </c>
      <c r="AE6" s="32" t="s">
        <v>649</v>
      </c>
      <c r="AF6" s="30" t="s">
        <v>555</v>
      </c>
      <c r="AG6" s="30" t="b">
        <f t="shared" si="5"/>
        <v>1</v>
      </c>
      <c r="AH6" s="30">
        <v>3</v>
      </c>
      <c r="AI6" s="30">
        <v>7007</v>
      </c>
      <c r="AJ6" s="32" t="s">
        <v>649</v>
      </c>
      <c r="AK6" s="30" t="s">
        <v>555</v>
      </c>
      <c r="AL6" s="30" t="b">
        <f t="shared" si="6"/>
        <v>1</v>
      </c>
      <c r="AM6" s="30">
        <v>3</v>
      </c>
      <c r="AN6" s="30">
        <v>7007</v>
      </c>
      <c r="AO6" s="32" t="s">
        <v>649</v>
      </c>
      <c r="AP6" s="30" t="s">
        <v>555</v>
      </c>
      <c r="AQ6" s="30" t="b">
        <f t="shared" si="7"/>
        <v>1</v>
      </c>
      <c r="AR6" s="30">
        <v>3</v>
      </c>
      <c r="AS6" s="30">
        <v>7007</v>
      </c>
      <c r="AT6" s="30" t="s">
        <v>649</v>
      </c>
      <c r="AU6" s="30" t="s">
        <v>555</v>
      </c>
      <c r="AV6" s="30" t="b">
        <f t="shared" si="8"/>
        <v>1</v>
      </c>
      <c r="AW6" s="30">
        <v>3</v>
      </c>
      <c r="AX6" s="30">
        <v>7007</v>
      </c>
      <c r="AY6" s="32" t="s">
        <v>649</v>
      </c>
      <c r="AZ6" s="30" t="s">
        <v>555</v>
      </c>
      <c r="BA6" s="30" t="b">
        <f t="shared" si="9"/>
        <v>1</v>
      </c>
      <c r="BB6" s="30">
        <v>3</v>
      </c>
      <c r="BC6" s="30">
        <v>7007</v>
      </c>
      <c r="BD6" s="32" t="s">
        <v>649</v>
      </c>
      <c r="BE6" s="30" t="s">
        <v>555</v>
      </c>
      <c r="BF6" s="30" t="b">
        <f t="shared" si="10"/>
        <v>1</v>
      </c>
      <c r="BG6" s="30">
        <v>3</v>
      </c>
    </row>
    <row r="7" spans="1:59" s="30" customFormat="1" x14ac:dyDescent="0.3">
      <c r="A7" s="31">
        <v>7009</v>
      </c>
      <c r="B7" s="32" t="s">
        <v>650</v>
      </c>
      <c r="C7" s="30" t="s">
        <v>556</v>
      </c>
      <c r="D7" s="31">
        <v>4</v>
      </c>
      <c r="E7" s="30">
        <v>7009</v>
      </c>
      <c r="F7" s="30" t="s">
        <v>650</v>
      </c>
      <c r="G7" s="30" t="s">
        <v>556</v>
      </c>
      <c r="H7" s="30" t="b">
        <f t="shared" si="0"/>
        <v>1</v>
      </c>
      <c r="I7" s="31">
        <v>4</v>
      </c>
      <c r="J7" s="30">
        <v>7009</v>
      </c>
      <c r="K7" s="30" t="s">
        <v>650</v>
      </c>
      <c r="L7" s="30" t="s">
        <v>556</v>
      </c>
      <c r="M7" s="30" t="b">
        <f t="shared" si="1"/>
        <v>1</v>
      </c>
      <c r="N7" s="31">
        <v>4</v>
      </c>
      <c r="O7" s="30">
        <v>7009</v>
      </c>
      <c r="P7" s="32" t="s">
        <v>652</v>
      </c>
      <c r="Q7" s="30" t="s">
        <v>558</v>
      </c>
      <c r="R7" s="30" t="b">
        <f t="shared" si="2"/>
        <v>0</v>
      </c>
      <c r="S7" s="30">
        <v>15</v>
      </c>
      <c r="T7" s="30">
        <v>7009</v>
      </c>
      <c r="U7" s="32" t="s">
        <v>650</v>
      </c>
      <c r="V7" s="30" t="s">
        <v>556</v>
      </c>
      <c r="W7" s="30" t="b">
        <f t="shared" si="3"/>
        <v>1</v>
      </c>
      <c r="X7" s="30">
        <v>4</v>
      </c>
      <c r="Y7" s="30">
        <v>7009</v>
      </c>
      <c r="Z7" s="32" t="s">
        <v>650</v>
      </c>
      <c r="AA7" s="30" t="s">
        <v>556</v>
      </c>
      <c r="AB7" s="30" t="b">
        <f t="shared" si="4"/>
        <v>1</v>
      </c>
      <c r="AC7" s="30">
        <v>4</v>
      </c>
      <c r="AD7" s="30">
        <v>7009</v>
      </c>
      <c r="AE7" s="32" t="s">
        <v>650</v>
      </c>
      <c r="AF7" s="30" t="s">
        <v>556</v>
      </c>
      <c r="AG7" s="30" t="b">
        <f t="shared" si="5"/>
        <v>1</v>
      </c>
      <c r="AH7" s="30">
        <v>4</v>
      </c>
      <c r="AI7" s="30">
        <v>7009</v>
      </c>
      <c r="AJ7" s="32" t="s">
        <v>650</v>
      </c>
      <c r="AK7" s="30" t="s">
        <v>556</v>
      </c>
      <c r="AL7" s="30" t="b">
        <f t="shared" si="6"/>
        <v>1</v>
      </c>
      <c r="AM7" s="30">
        <v>4</v>
      </c>
      <c r="AN7" s="30">
        <v>7009</v>
      </c>
      <c r="AO7" s="32" t="s">
        <v>650</v>
      </c>
      <c r="AP7" s="30" t="s">
        <v>556</v>
      </c>
      <c r="AQ7" s="30" t="b">
        <f t="shared" si="7"/>
        <v>1</v>
      </c>
      <c r="AR7" s="30">
        <v>4</v>
      </c>
      <c r="AS7" s="30">
        <v>7009</v>
      </c>
      <c r="AT7" s="30" t="s">
        <v>650</v>
      </c>
      <c r="AU7" s="30" t="s">
        <v>556</v>
      </c>
      <c r="AV7" s="30" t="b">
        <f t="shared" si="8"/>
        <v>1</v>
      </c>
      <c r="AW7" s="30">
        <v>4</v>
      </c>
      <c r="AX7" s="30">
        <v>7009</v>
      </c>
      <c r="AY7" s="32" t="s">
        <v>650</v>
      </c>
      <c r="AZ7" s="30" t="s">
        <v>556</v>
      </c>
      <c r="BA7" s="30" t="b">
        <f t="shared" si="9"/>
        <v>1</v>
      </c>
      <c r="BB7" s="30">
        <v>4</v>
      </c>
      <c r="BC7" s="30">
        <v>7009</v>
      </c>
      <c r="BD7" s="32" t="s">
        <v>650</v>
      </c>
      <c r="BE7" s="30" t="s">
        <v>556</v>
      </c>
      <c r="BF7" s="30" t="b">
        <f t="shared" si="10"/>
        <v>1</v>
      </c>
      <c r="BG7" s="30">
        <v>4</v>
      </c>
    </row>
    <row r="8" spans="1:59" s="30" customFormat="1" x14ac:dyDescent="0.3">
      <c r="A8" s="31">
        <v>7011</v>
      </c>
      <c r="B8" s="32" t="s">
        <v>651</v>
      </c>
      <c r="C8" s="30" t="s">
        <v>557</v>
      </c>
      <c r="D8" s="31">
        <v>5</v>
      </c>
      <c r="E8" s="30">
        <v>7011</v>
      </c>
      <c r="F8" s="30" t="s">
        <v>651</v>
      </c>
      <c r="G8" s="30" t="s">
        <v>557</v>
      </c>
      <c r="H8" s="30" t="b">
        <f t="shared" si="0"/>
        <v>1</v>
      </c>
      <c r="I8" s="31">
        <v>5</v>
      </c>
      <c r="J8" s="30">
        <v>7011</v>
      </c>
      <c r="K8" s="30" t="s">
        <v>651</v>
      </c>
      <c r="L8" s="30" t="s">
        <v>557</v>
      </c>
      <c r="M8" s="30" t="b">
        <f t="shared" si="1"/>
        <v>1</v>
      </c>
      <c r="N8" s="31">
        <v>5</v>
      </c>
      <c r="O8" s="30">
        <v>7011</v>
      </c>
      <c r="P8" s="32" t="s">
        <v>653</v>
      </c>
      <c r="Q8" s="30" t="s">
        <v>559</v>
      </c>
      <c r="R8" s="30" t="b">
        <f t="shared" si="2"/>
        <v>0</v>
      </c>
      <c r="S8" s="30">
        <v>16</v>
      </c>
      <c r="T8" s="30">
        <v>7011</v>
      </c>
      <c r="U8" s="32" t="s">
        <v>651</v>
      </c>
      <c r="V8" s="30" t="s">
        <v>557</v>
      </c>
      <c r="W8" s="30" t="b">
        <f t="shared" si="3"/>
        <v>1</v>
      </c>
      <c r="X8" s="30">
        <v>5</v>
      </c>
      <c r="Y8" s="30">
        <v>7011</v>
      </c>
      <c r="Z8" s="32" t="s">
        <v>651</v>
      </c>
      <c r="AA8" s="30" t="s">
        <v>557</v>
      </c>
      <c r="AB8" s="30" t="b">
        <f t="shared" si="4"/>
        <v>1</v>
      </c>
      <c r="AC8" s="30">
        <v>5</v>
      </c>
      <c r="AD8" s="30">
        <v>7011</v>
      </c>
      <c r="AE8" s="32" t="s">
        <v>651</v>
      </c>
      <c r="AF8" s="30" t="s">
        <v>557</v>
      </c>
      <c r="AG8" s="30" t="b">
        <f t="shared" si="5"/>
        <v>1</v>
      </c>
      <c r="AH8" s="30">
        <v>5</v>
      </c>
      <c r="AI8" s="30">
        <v>7011</v>
      </c>
      <c r="AJ8" s="32" t="s">
        <v>651</v>
      </c>
      <c r="AK8" s="30" t="s">
        <v>557</v>
      </c>
      <c r="AL8" s="30" t="b">
        <f t="shared" si="6"/>
        <v>1</v>
      </c>
      <c r="AM8" s="30">
        <v>5</v>
      </c>
      <c r="AN8" s="30">
        <v>7011</v>
      </c>
      <c r="AO8" s="32" t="s">
        <v>651</v>
      </c>
      <c r="AP8" s="30" t="s">
        <v>557</v>
      </c>
      <c r="AQ8" s="30" t="b">
        <f t="shared" si="7"/>
        <v>1</v>
      </c>
      <c r="AR8" s="30">
        <v>5</v>
      </c>
      <c r="AS8" s="30">
        <v>7011</v>
      </c>
      <c r="AT8" s="30" t="s">
        <v>651</v>
      </c>
      <c r="AU8" s="30" t="s">
        <v>557</v>
      </c>
      <c r="AV8" s="30" t="b">
        <f t="shared" si="8"/>
        <v>1</v>
      </c>
      <c r="AW8" s="30">
        <v>5</v>
      </c>
      <c r="AX8" s="30">
        <v>7011</v>
      </c>
      <c r="AY8" s="32" t="s">
        <v>651</v>
      </c>
      <c r="AZ8" s="30" t="s">
        <v>557</v>
      </c>
      <c r="BA8" s="30" t="b">
        <f t="shared" si="9"/>
        <v>1</v>
      </c>
      <c r="BB8" s="30">
        <v>5</v>
      </c>
      <c r="BC8" s="30">
        <v>7011</v>
      </c>
      <c r="BD8" s="32" t="s">
        <v>651</v>
      </c>
      <c r="BE8" s="30" t="s">
        <v>557</v>
      </c>
      <c r="BF8" s="30" t="b">
        <f t="shared" si="10"/>
        <v>1</v>
      </c>
      <c r="BG8" s="30">
        <v>5</v>
      </c>
    </row>
    <row r="9" spans="1:59" x14ac:dyDescent="0.3">
      <c r="A9" s="1">
        <v>7013</v>
      </c>
      <c r="B9" s="16" t="s">
        <v>652</v>
      </c>
      <c r="C9" t="s">
        <v>558</v>
      </c>
      <c r="D9" s="1" t="b">
        <v>0</v>
      </c>
      <c r="E9">
        <v>7013</v>
      </c>
      <c r="F9" t="s">
        <v>652</v>
      </c>
      <c r="G9" t="s">
        <v>558</v>
      </c>
      <c r="H9" t="b">
        <f t="shared" si="0"/>
        <v>1</v>
      </c>
      <c r="I9" s="1" t="b">
        <v>0</v>
      </c>
      <c r="J9">
        <v>7013</v>
      </c>
      <c r="K9" t="s">
        <v>652</v>
      </c>
      <c r="L9" t="s">
        <v>558</v>
      </c>
      <c r="M9" t="b">
        <f t="shared" si="1"/>
        <v>1</v>
      </c>
      <c r="N9" s="1" t="b">
        <v>0</v>
      </c>
      <c r="O9">
        <v>7013</v>
      </c>
      <c r="P9" s="16" t="s">
        <v>654</v>
      </c>
      <c r="Q9" t="s">
        <v>560</v>
      </c>
      <c r="R9" t="b">
        <f t="shared" si="2"/>
        <v>0</v>
      </c>
      <c r="S9">
        <v>17</v>
      </c>
      <c r="T9">
        <v>7013</v>
      </c>
      <c r="U9" s="16" t="s">
        <v>652</v>
      </c>
      <c r="V9" t="s">
        <v>558</v>
      </c>
      <c r="W9" t="b">
        <f t="shared" si="3"/>
        <v>1</v>
      </c>
      <c r="X9" t="b">
        <v>0</v>
      </c>
      <c r="Y9">
        <v>7013</v>
      </c>
      <c r="Z9" s="16" t="s">
        <v>652</v>
      </c>
      <c r="AA9" t="s">
        <v>558</v>
      </c>
      <c r="AB9" t="b">
        <f t="shared" si="4"/>
        <v>1</v>
      </c>
      <c r="AC9" t="b">
        <v>0</v>
      </c>
      <c r="AD9">
        <v>7013</v>
      </c>
      <c r="AE9" s="16" t="s">
        <v>652</v>
      </c>
      <c r="AF9" t="s">
        <v>558</v>
      </c>
      <c r="AG9" t="b">
        <f t="shared" si="5"/>
        <v>1</v>
      </c>
      <c r="AH9" t="b">
        <v>0</v>
      </c>
      <c r="AI9">
        <v>7013</v>
      </c>
      <c r="AJ9" s="16" t="s">
        <v>652</v>
      </c>
      <c r="AK9" t="s">
        <v>558</v>
      </c>
      <c r="AL9" t="b">
        <f t="shared" si="6"/>
        <v>1</v>
      </c>
      <c r="AM9" t="b">
        <v>0</v>
      </c>
      <c r="AN9">
        <v>7013</v>
      </c>
      <c r="AO9" s="16" t="s">
        <v>652</v>
      </c>
      <c r="AP9" t="s">
        <v>558</v>
      </c>
      <c r="AQ9" t="b">
        <f t="shared" si="7"/>
        <v>1</v>
      </c>
      <c r="AR9" t="b">
        <v>0</v>
      </c>
      <c r="AS9">
        <v>7013</v>
      </c>
      <c r="AT9" t="s">
        <v>652</v>
      </c>
      <c r="AU9" t="s">
        <v>558</v>
      </c>
      <c r="AV9" t="b">
        <f t="shared" si="8"/>
        <v>1</v>
      </c>
      <c r="AW9" t="b">
        <v>0</v>
      </c>
      <c r="AX9">
        <v>7013</v>
      </c>
      <c r="AY9" s="16" t="s">
        <v>652</v>
      </c>
      <c r="AZ9" t="s">
        <v>558</v>
      </c>
      <c r="BA9" t="b">
        <f t="shared" si="9"/>
        <v>1</v>
      </c>
      <c r="BB9" t="b">
        <v>0</v>
      </c>
      <c r="BC9">
        <v>7013</v>
      </c>
      <c r="BD9" s="16" t="s">
        <v>652</v>
      </c>
      <c r="BE9" t="s">
        <v>558</v>
      </c>
      <c r="BF9" t="b">
        <f t="shared" si="10"/>
        <v>1</v>
      </c>
      <c r="BG9" t="b">
        <v>0</v>
      </c>
    </row>
    <row r="10" spans="1:59" x14ac:dyDescent="0.3">
      <c r="A10" s="1">
        <v>7015</v>
      </c>
      <c r="B10" s="16" t="s">
        <v>653</v>
      </c>
      <c r="C10" t="s">
        <v>559</v>
      </c>
      <c r="D10" s="1" t="b">
        <v>0</v>
      </c>
      <c r="E10">
        <v>7015</v>
      </c>
      <c r="F10" t="s">
        <v>653</v>
      </c>
      <c r="G10" t="s">
        <v>559</v>
      </c>
      <c r="H10" t="b">
        <f t="shared" si="0"/>
        <v>1</v>
      </c>
      <c r="I10" s="1" t="b">
        <v>0</v>
      </c>
      <c r="J10">
        <v>7015</v>
      </c>
      <c r="K10" t="s">
        <v>653</v>
      </c>
      <c r="L10" t="s">
        <v>559</v>
      </c>
      <c r="M10" t="b">
        <f t="shared" si="1"/>
        <v>1</v>
      </c>
      <c r="N10" s="1" t="b">
        <v>0</v>
      </c>
      <c r="O10">
        <v>7015</v>
      </c>
      <c r="P10" s="16" t="s">
        <v>655</v>
      </c>
      <c r="Q10" t="s">
        <v>561</v>
      </c>
      <c r="R10" t="b">
        <f t="shared" si="2"/>
        <v>0</v>
      </c>
      <c r="S10" t="e">
        <v>#N/A</v>
      </c>
      <c r="T10">
        <v>7015</v>
      </c>
      <c r="U10" s="16" t="s">
        <v>653</v>
      </c>
      <c r="V10" t="s">
        <v>559</v>
      </c>
      <c r="W10" t="b">
        <f t="shared" si="3"/>
        <v>1</v>
      </c>
      <c r="X10" t="b">
        <v>0</v>
      </c>
      <c r="Y10">
        <v>7015</v>
      </c>
      <c r="Z10" s="16" t="s">
        <v>653</v>
      </c>
      <c r="AA10" t="s">
        <v>559</v>
      </c>
      <c r="AB10" t="b">
        <f t="shared" si="4"/>
        <v>1</v>
      </c>
      <c r="AC10" t="b">
        <v>0</v>
      </c>
      <c r="AD10">
        <v>7015</v>
      </c>
      <c r="AE10" s="16" t="s">
        <v>653</v>
      </c>
      <c r="AF10" t="s">
        <v>559</v>
      </c>
      <c r="AG10" t="b">
        <f t="shared" si="5"/>
        <v>1</v>
      </c>
      <c r="AH10" t="b">
        <v>0</v>
      </c>
      <c r="AI10">
        <v>7015</v>
      </c>
      <c r="AJ10" s="16" t="s">
        <v>653</v>
      </c>
      <c r="AK10" t="s">
        <v>559</v>
      </c>
      <c r="AL10" t="b">
        <f t="shared" si="6"/>
        <v>1</v>
      </c>
      <c r="AM10" t="b">
        <v>0</v>
      </c>
      <c r="AN10">
        <v>7015</v>
      </c>
      <c r="AO10" s="16" t="s">
        <v>653</v>
      </c>
      <c r="AP10" t="s">
        <v>559</v>
      </c>
      <c r="AQ10" t="b">
        <f t="shared" si="7"/>
        <v>1</v>
      </c>
      <c r="AR10" t="b">
        <v>0</v>
      </c>
      <c r="AS10">
        <v>7015</v>
      </c>
      <c r="AT10" t="s">
        <v>653</v>
      </c>
      <c r="AU10" t="s">
        <v>559</v>
      </c>
      <c r="AV10" t="b">
        <f t="shared" si="8"/>
        <v>1</v>
      </c>
      <c r="AW10" t="b">
        <v>0</v>
      </c>
      <c r="AX10">
        <v>7015</v>
      </c>
      <c r="AY10" s="16" t="s">
        <v>653</v>
      </c>
      <c r="AZ10" t="s">
        <v>559</v>
      </c>
      <c r="BA10" t="b">
        <f t="shared" si="9"/>
        <v>1</v>
      </c>
      <c r="BB10" t="b">
        <v>0</v>
      </c>
      <c r="BC10">
        <v>7015</v>
      </c>
      <c r="BD10" s="16" t="s">
        <v>653</v>
      </c>
      <c r="BE10" t="s">
        <v>559</v>
      </c>
      <c r="BF10" t="b">
        <f t="shared" si="10"/>
        <v>1</v>
      </c>
      <c r="BG10" t="b">
        <v>0</v>
      </c>
    </row>
    <row r="11" spans="1:59" x14ac:dyDescent="0.3">
      <c r="A11" s="1">
        <v>7017</v>
      </c>
      <c r="B11" s="16" t="s">
        <v>654</v>
      </c>
      <c r="C11" t="s">
        <v>560</v>
      </c>
      <c r="D11" s="1" t="b">
        <v>0</v>
      </c>
      <c r="E11">
        <v>7017</v>
      </c>
      <c r="F11" t="s">
        <v>654</v>
      </c>
      <c r="G11" t="s">
        <v>560</v>
      </c>
      <c r="H11" t="b">
        <f t="shared" si="0"/>
        <v>1</v>
      </c>
      <c r="I11" s="1" t="b">
        <v>0</v>
      </c>
      <c r="J11">
        <v>7017</v>
      </c>
      <c r="K11" t="s">
        <v>654</v>
      </c>
      <c r="L11" t="s">
        <v>560</v>
      </c>
      <c r="M11" t="b">
        <f t="shared" si="1"/>
        <v>1</v>
      </c>
      <c r="N11" s="1" t="b">
        <v>0</v>
      </c>
      <c r="O11">
        <v>7017</v>
      </c>
      <c r="P11" s="16" t="s">
        <v>656</v>
      </c>
      <c r="Q11" t="s">
        <v>562</v>
      </c>
      <c r="R11" t="b">
        <f t="shared" si="2"/>
        <v>0</v>
      </c>
      <c r="S11" t="e">
        <v>#N/A</v>
      </c>
      <c r="T11">
        <v>7017</v>
      </c>
      <c r="U11" s="16" t="s">
        <v>654</v>
      </c>
      <c r="V11" t="s">
        <v>560</v>
      </c>
      <c r="W11" t="b">
        <f t="shared" si="3"/>
        <v>1</v>
      </c>
      <c r="X11" t="b">
        <v>0</v>
      </c>
      <c r="Y11">
        <v>7017</v>
      </c>
      <c r="Z11" s="16" t="s">
        <v>654</v>
      </c>
      <c r="AA11" t="s">
        <v>560</v>
      </c>
      <c r="AB11" t="b">
        <f t="shared" si="4"/>
        <v>1</v>
      </c>
      <c r="AC11" t="b">
        <v>0</v>
      </c>
      <c r="AD11">
        <v>7017</v>
      </c>
      <c r="AE11" s="16" t="s">
        <v>654</v>
      </c>
      <c r="AF11" t="s">
        <v>560</v>
      </c>
      <c r="AG11" t="b">
        <f t="shared" si="5"/>
        <v>1</v>
      </c>
      <c r="AH11" t="b">
        <v>0</v>
      </c>
      <c r="AI11">
        <v>7017</v>
      </c>
      <c r="AJ11" s="16" t="s">
        <v>654</v>
      </c>
      <c r="AK11" t="s">
        <v>560</v>
      </c>
      <c r="AL11" t="b">
        <f t="shared" si="6"/>
        <v>1</v>
      </c>
      <c r="AM11" t="b">
        <v>0</v>
      </c>
      <c r="AN11">
        <v>7017</v>
      </c>
      <c r="AO11" s="16" t="s">
        <v>654</v>
      </c>
      <c r="AP11" t="s">
        <v>560</v>
      </c>
      <c r="AQ11" t="b">
        <f t="shared" si="7"/>
        <v>1</v>
      </c>
      <c r="AR11" t="b">
        <v>0</v>
      </c>
      <c r="AS11">
        <v>7017</v>
      </c>
      <c r="AT11" t="s">
        <v>654</v>
      </c>
      <c r="AU11" t="s">
        <v>560</v>
      </c>
      <c r="AV11" t="b">
        <f t="shared" si="8"/>
        <v>1</v>
      </c>
      <c r="AW11" t="b">
        <v>0</v>
      </c>
      <c r="AX11">
        <v>7017</v>
      </c>
      <c r="AY11" s="16" t="s">
        <v>654</v>
      </c>
      <c r="AZ11" t="s">
        <v>560</v>
      </c>
      <c r="BA11" t="b">
        <f t="shared" si="9"/>
        <v>1</v>
      </c>
      <c r="BB11" t="b">
        <v>0</v>
      </c>
      <c r="BC11">
        <v>7017</v>
      </c>
      <c r="BD11" s="16" t="s">
        <v>654</v>
      </c>
      <c r="BE11" t="s">
        <v>560</v>
      </c>
      <c r="BF11" t="b">
        <f t="shared" si="10"/>
        <v>1</v>
      </c>
      <c r="BG11" t="b">
        <v>0</v>
      </c>
    </row>
    <row r="12" spans="1:59" x14ac:dyDescent="0.3">
      <c r="A12" s="1">
        <v>7019</v>
      </c>
      <c r="B12" s="16" t="s">
        <v>655</v>
      </c>
      <c r="C12" t="s">
        <v>561</v>
      </c>
      <c r="D12" s="1" t="b">
        <v>0</v>
      </c>
      <c r="E12">
        <v>7019</v>
      </c>
      <c r="F12" t="s">
        <v>655</v>
      </c>
      <c r="G12" t="s">
        <v>561</v>
      </c>
      <c r="H12" t="b">
        <f t="shared" si="0"/>
        <v>1</v>
      </c>
      <c r="I12" s="1" t="b">
        <v>0</v>
      </c>
      <c r="J12">
        <v>7019</v>
      </c>
      <c r="K12" t="s">
        <v>655</v>
      </c>
      <c r="L12" t="s">
        <v>561</v>
      </c>
      <c r="M12" t="b">
        <f t="shared" si="1"/>
        <v>1</v>
      </c>
      <c r="N12" s="1" t="b">
        <v>0</v>
      </c>
      <c r="O12">
        <v>7019</v>
      </c>
      <c r="P12" s="16" t="s">
        <v>657</v>
      </c>
      <c r="Q12" t="s">
        <v>563</v>
      </c>
      <c r="R12" t="b">
        <f t="shared" si="2"/>
        <v>0</v>
      </c>
      <c r="S12" t="e">
        <v>#N/A</v>
      </c>
      <c r="T12">
        <v>7019</v>
      </c>
      <c r="U12" s="16" t="s">
        <v>655</v>
      </c>
      <c r="V12" t="s">
        <v>561</v>
      </c>
      <c r="W12" t="b">
        <f t="shared" si="3"/>
        <v>1</v>
      </c>
      <c r="X12" t="b">
        <v>0</v>
      </c>
      <c r="Y12">
        <v>7019</v>
      </c>
      <c r="Z12" s="16" t="s">
        <v>655</v>
      </c>
      <c r="AA12" t="s">
        <v>561</v>
      </c>
      <c r="AB12" t="b">
        <f t="shared" si="4"/>
        <v>1</v>
      </c>
      <c r="AC12" t="b">
        <v>0</v>
      </c>
      <c r="AD12">
        <v>7019</v>
      </c>
      <c r="AE12" s="16" t="s">
        <v>655</v>
      </c>
      <c r="AF12" t="s">
        <v>561</v>
      </c>
      <c r="AG12" t="b">
        <f t="shared" si="5"/>
        <v>1</v>
      </c>
      <c r="AH12" t="b">
        <v>0</v>
      </c>
      <c r="AI12">
        <v>7019</v>
      </c>
      <c r="AJ12" s="16" t="s">
        <v>655</v>
      </c>
      <c r="AK12" t="s">
        <v>561</v>
      </c>
      <c r="AL12" t="b">
        <f t="shared" si="6"/>
        <v>1</v>
      </c>
      <c r="AM12" t="b">
        <v>0</v>
      </c>
      <c r="AN12">
        <v>7019</v>
      </c>
      <c r="AO12" s="16" t="s">
        <v>655</v>
      </c>
      <c r="AP12" t="s">
        <v>561</v>
      </c>
      <c r="AQ12" t="b">
        <f t="shared" si="7"/>
        <v>1</v>
      </c>
      <c r="AR12" t="b">
        <v>0</v>
      </c>
      <c r="AS12">
        <v>7019</v>
      </c>
      <c r="AT12" t="s">
        <v>655</v>
      </c>
      <c r="AU12" t="s">
        <v>561</v>
      </c>
      <c r="AV12" t="b">
        <f t="shared" si="8"/>
        <v>1</v>
      </c>
      <c r="AW12" t="b">
        <v>0</v>
      </c>
      <c r="AX12">
        <v>7019</v>
      </c>
      <c r="AY12" s="16" t="s">
        <v>655</v>
      </c>
      <c r="AZ12" t="s">
        <v>561</v>
      </c>
      <c r="BA12" t="b">
        <f t="shared" si="9"/>
        <v>1</v>
      </c>
      <c r="BB12" t="b">
        <v>0</v>
      </c>
      <c r="BC12">
        <v>7019</v>
      </c>
      <c r="BD12" s="16" t="s">
        <v>655</v>
      </c>
      <c r="BE12" t="s">
        <v>561</v>
      </c>
      <c r="BF12" t="b">
        <f t="shared" si="10"/>
        <v>1</v>
      </c>
      <c r="BG12" t="b">
        <v>0</v>
      </c>
    </row>
    <row r="13" spans="1:59" x14ac:dyDescent="0.3">
      <c r="A13" s="1">
        <v>7021</v>
      </c>
      <c r="B13" s="16" t="s">
        <v>656</v>
      </c>
      <c r="C13" t="s">
        <v>562</v>
      </c>
      <c r="D13" s="1" t="b">
        <v>0</v>
      </c>
      <c r="E13">
        <v>7021</v>
      </c>
      <c r="F13" t="s">
        <v>656</v>
      </c>
      <c r="G13" t="s">
        <v>562</v>
      </c>
      <c r="H13" t="b">
        <f t="shared" si="0"/>
        <v>1</v>
      </c>
      <c r="I13" s="1" t="b">
        <v>0</v>
      </c>
      <c r="J13">
        <v>7021</v>
      </c>
      <c r="K13" t="s">
        <v>656</v>
      </c>
      <c r="L13" t="s">
        <v>562</v>
      </c>
      <c r="M13" t="b">
        <f t="shared" si="1"/>
        <v>1</v>
      </c>
      <c r="N13" s="1" t="b">
        <v>0</v>
      </c>
      <c r="O13" s="30">
        <v>7021</v>
      </c>
      <c r="P13" s="32" t="s">
        <v>658</v>
      </c>
      <c r="Q13" s="30" t="s">
        <v>564</v>
      </c>
      <c r="R13" s="30" t="b">
        <f t="shared" si="2"/>
        <v>0</v>
      </c>
      <c r="S13" s="30">
        <v>10</v>
      </c>
      <c r="T13">
        <v>7021</v>
      </c>
      <c r="U13" s="16" t="s">
        <v>656</v>
      </c>
      <c r="V13" t="s">
        <v>562</v>
      </c>
      <c r="W13" t="b">
        <f t="shared" si="3"/>
        <v>1</v>
      </c>
      <c r="X13" t="b">
        <v>0</v>
      </c>
      <c r="Y13">
        <v>7021</v>
      </c>
      <c r="Z13" s="16" t="s">
        <v>656</v>
      </c>
      <c r="AA13" t="s">
        <v>562</v>
      </c>
      <c r="AB13" t="b">
        <f t="shared" si="4"/>
        <v>1</v>
      </c>
      <c r="AC13" t="b">
        <v>0</v>
      </c>
      <c r="AD13">
        <v>7021</v>
      </c>
      <c r="AE13" s="16" t="s">
        <v>656</v>
      </c>
      <c r="AF13" t="s">
        <v>562</v>
      </c>
      <c r="AG13" t="b">
        <f t="shared" si="5"/>
        <v>1</v>
      </c>
      <c r="AH13" t="b">
        <v>0</v>
      </c>
      <c r="AI13">
        <v>7021</v>
      </c>
      <c r="AJ13" s="16" t="s">
        <v>656</v>
      </c>
      <c r="AK13" t="s">
        <v>562</v>
      </c>
      <c r="AL13" t="b">
        <f t="shared" si="6"/>
        <v>1</v>
      </c>
      <c r="AM13" t="b">
        <v>0</v>
      </c>
      <c r="AN13">
        <v>7021</v>
      </c>
      <c r="AO13" s="16" t="s">
        <v>656</v>
      </c>
      <c r="AP13" t="s">
        <v>562</v>
      </c>
      <c r="AQ13" t="b">
        <f t="shared" si="7"/>
        <v>1</v>
      </c>
      <c r="AR13" t="b">
        <v>0</v>
      </c>
      <c r="AS13">
        <v>7021</v>
      </c>
      <c r="AT13" t="s">
        <v>656</v>
      </c>
      <c r="AU13" t="s">
        <v>562</v>
      </c>
      <c r="AV13" t="b">
        <f t="shared" si="8"/>
        <v>1</v>
      </c>
      <c r="AW13" t="b">
        <v>0</v>
      </c>
      <c r="AX13">
        <v>7021</v>
      </c>
      <c r="AY13" s="16" t="s">
        <v>656</v>
      </c>
      <c r="AZ13" t="s">
        <v>562</v>
      </c>
      <c r="BA13" t="b">
        <f t="shared" si="9"/>
        <v>1</v>
      </c>
      <c r="BB13" t="b">
        <v>0</v>
      </c>
      <c r="BC13">
        <v>7021</v>
      </c>
      <c r="BD13" s="16" t="s">
        <v>656</v>
      </c>
      <c r="BE13" t="s">
        <v>562</v>
      </c>
      <c r="BF13" t="b">
        <f t="shared" si="10"/>
        <v>1</v>
      </c>
      <c r="BG13" t="b">
        <v>0</v>
      </c>
    </row>
    <row r="14" spans="1:59" x14ac:dyDescent="0.3">
      <c r="A14" s="1">
        <v>7023</v>
      </c>
      <c r="B14" s="16" t="s">
        <v>657</v>
      </c>
      <c r="C14" t="s">
        <v>563</v>
      </c>
      <c r="D14" s="1" t="b">
        <v>0</v>
      </c>
      <c r="E14">
        <v>7023</v>
      </c>
      <c r="F14" t="s">
        <v>657</v>
      </c>
      <c r="G14" t="s">
        <v>563</v>
      </c>
      <c r="H14" t="b">
        <f t="shared" si="0"/>
        <v>1</v>
      </c>
      <c r="I14" s="1" t="b">
        <v>0</v>
      </c>
      <c r="J14">
        <v>7023</v>
      </c>
      <c r="K14" t="s">
        <v>657</v>
      </c>
      <c r="L14" t="s">
        <v>563</v>
      </c>
      <c r="M14" t="b">
        <f t="shared" si="1"/>
        <v>1</v>
      </c>
      <c r="N14" s="1" t="b">
        <v>0</v>
      </c>
      <c r="O14">
        <v>7023</v>
      </c>
      <c r="P14" s="16" t="s">
        <v>659</v>
      </c>
      <c r="Q14" t="s">
        <v>565</v>
      </c>
      <c r="R14" t="b">
        <f t="shared" si="2"/>
        <v>0</v>
      </c>
      <c r="S14" t="e">
        <v>#N/A</v>
      </c>
      <c r="T14">
        <v>7023</v>
      </c>
      <c r="U14" s="16" t="s">
        <v>657</v>
      </c>
      <c r="V14" t="s">
        <v>563</v>
      </c>
      <c r="W14" t="b">
        <f t="shared" si="3"/>
        <v>1</v>
      </c>
      <c r="X14" t="b">
        <v>0</v>
      </c>
      <c r="Y14">
        <v>7023</v>
      </c>
      <c r="Z14" s="16" t="s">
        <v>657</v>
      </c>
      <c r="AA14" t="s">
        <v>563</v>
      </c>
      <c r="AB14" t="b">
        <f t="shared" si="4"/>
        <v>1</v>
      </c>
      <c r="AC14" t="b">
        <v>0</v>
      </c>
      <c r="AD14">
        <v>7023</v>
      </c>
      <c r="AE14" s="16" t="s">
        <v>657</v>
      </c>
      <c r="AF14" t="s">
        <v>563</v>
      </c>
      <c r="AG14" t="b">
        <f t="shared" si="5"/>
        <v>1</v>
      </c>
      <c r="AH14" t="b">
        <v>0</v>
      </c>
      <c r="AI14">
        <v>7023</v>
      </c>
      <c r="AJ14" s="16" t="s">
        <v>657</v>
      </c>
      <c r="AK14" t="s">
        <v>563</v>
      </c>
      <c r="AL14" t="b">
        <f t="shared" si="6"/>
        <v>1</v>
      </c>
      <c r="AM14" t="b">
        <v>0</v>
      </c>
      <c r="AN14">
        <v>7023</v>
      </c>
      <c r="AO14" s="16" t="s">
        <v>657</v>
      </c>
      <c r="AP14" t="s">
        <v>563</v>
      </c>
      <c r="AQ14" t="b">
        <f t="shared" si="7"/>
        <v>1</v>
      </c>
      <c r="AR14" t="b">
        <v>0</v>
      </c>
      <c r="AS14">
        <v>7023</v>
      </c>
      <c r="AT14" t="s">
        <v>657</v>
      </c>
      <c r="AU14" t="s">
        <v>563</v>
      </c>
      <c r="AV14" t="b">
        <f t="shared" si="8"/>
        <v>1</v>
      </c>
      <c r="AW14" t="b">
        <v>0</v>
      </c>
      <c r="AX14">
        <v>7023</v>
      </c>
      <c r="AY14" s="16" t="s">
        <v>657</v>
      </c>
      <c r="AZ14" t="s">
        <v>563</v>
      </c>
      <c r="BA14" t="b">
        <f t="shared" si="9"/>
        <v>1</v>
      </c>
      <c r="BB14" t="b">
        <v>0</v>
      </c>
      <c r="BC14">
        <v>7023</v>
      </c>
      <c r="BD14" s="16" t="s">
        <v>657</v>
      </c>
      <c r="BE14" t="s">
        <v>563</v>
      </c>
      <c r="BF14" t="b">
        <f t="shared" si="10"/>
        <v>1</v>
      </c>
      <c r="BG14" t="b">
        <v>0</v>
      </c>
    </row>
    <row r="15" spans="1:59" s="30" customFormat="1" x14ac:dyDescent="0.3">
      <c r="A15" s="31">
        <v>7025</v>
      </c>
      <c r="B15" s="32" t="s">
        <v>658</v>
      </c>
      <c r="C15" s="30" t="s">
        <v>564</v>
      </c>
      <c r="D15" s="31">
        <v>12</v>
      </c>
      <c r="E15" s="30">
        <v>7025</v>
      </c>
      <c r="F15" s="30" t="s">
        <v>658</v>
      </c>
      <c r="G15" s="30" t="s">
        <v>564</v>
      </c>
      <c r="H15" s="30" t="b">
        <f t="shared" si="0"/>
        <v>1</v>
      </c>
      <c r="I15" s="31">
        <v>12</v>
      </c>
      <c r="J15" s="30">
        <v>7025</v>
      </c>
      <c r="K15" s="30" t="s">
        <v>658</v>
      </c>
      <c r="L15" s="30" t="s">
        <v>564</v>
      </c>
      <c r="M15" s="30" t="b">
        <f t="shared" si="1"/>
        <v>1</v>
      </c>
      <c r="N15" s="31">
        <v>12</v>
      </c>
      <c r="O15" s="30">
        <v>7025</v>
      </c>
      <c r="P15" s="32" t="s">
        <v>660</v>
      </c>
      <c r="Q15" s="30" t="s">
        <v>566</v>
      </c>
      <c r="R15" s="30" t="b">
        <f t="shared" si="2"/>
        <v>0</v>
      </c>
      <c r="S15" s="30" t="e">
        <v>#N/A</v>
      </c>
      <c r="T15" s="30">
        <v>7025</v>
      </c>
      <c r="U15" s="32" t="s">
        <v>658</v>
      </c>
      <c r="V15" s="30" t="s">
        <v>564</v>
      </c>
      <c r="W15" s="30" t="b">
        <f t="shared" si="3"/>
        <v>1</v>
      </c>
      <c r="X15" s="30">
        <v>12</v>
      </c>
      <c r="Y15" s="30">
        <v>7025</v>
      </c>
      <c r="Z15" s="32" t="s">
        <v>658</v>
      </c>
      <c r="AA15" s="30" t="s">
        <v>564</v>
      </c>
      <c r="AB15" s="30" t="b">
        <f t="shared" si="4"/>
        <v>1</v>
      </c>
      <c r="AC15" s="30">
        <v>12</v>
      </c>
      <c r="AD15" s="30">
        <v>7025</v>
      </c>
      <c r="AE15" s="32" t="s">
        <v>658</v>
      </c>
      <c r="AF15" s="30" t="s">
        <v>564</v>
      </c>
      <c r="AG15" s="30" t="b">
        <f t="shared" si="5"/>
        <v>1</v>
      </c>
      <c r="AH15" s="30">
        <v>12</v>
      </c>
      <c r="AI15" s="30">
        <v>7025</v>
      </c>
      <c r="AJ15" s="32" t="s">
        <v>658</v>
      </c>
      <c r="AK15" s="30" t="s">
        <v>564</v>
      </c>
      <c r="AL15" s="30" t="b">
        <f t="shared" si="6"/>
        <v>1</v>
      </c>
      <c r="AM15" s="30">
        <v>12</v>
      </c>
      <c r="AN15" s="30">
        <v>7025</v>
      </c>
      <c r="AO15" s="32" t="s">
        <v>658</v>
      </c>
      <c r="AP15" s="30" t="s">
        <v>564</v>
      </c>
      <c r="AQ15" s="30" t="b">
        <f t="shared" si="7"/>
        <v>1</v>
      </c>
      <c r="AR15" s="30">
        <v>12</v>
      </c>
      <c r="AS15" s="30">
        <v>7025</v>
      </c>
      <c r="AT15" s="30" t="s">
        <v>658</v>
      </c>
      <c r="AU15" s="30" t="s">
        <v>564</v>
      </c>
      <c r="AV15" s="30" t="b">
        <f t="shared" si="8"/>
        <v>1</v>
      </c>
      <c r="AW15" s="30">
        <v>12</v>
      </c>
      <c r="AX15" s="30">
        <v>7025</v>
      </c>
      <c r="AY15" s="32" t="s">
        <v>658</v>
      </c>
      <c r="AZ15" s="30" t="s">
        <v>564</v>
      </c>
      <c r="BA15" s="30" t="b">
        <f t="shared" si="9"/>
        <v>1</v>
      </c>
      <c r="BB15" s="30">
        <v>12</v>
      </c>
      <c r="BC15" s="30">
        <v>7025</v>
      </c>
      <c r="BD15" s="32" t="s">
        <v>658</v>
      </c>
      <c r="BE15" s="30" t="s">
        <v>564</v>
      </c>
      <c r="BF15" s="30" t="b">
        <f t="shared" si="10"/>
        <v>1</v>
      </c>
      <c r="BG15" s="30">
        <v>12</v>
      </c>
    </row>
    <row r="16" spans="1:59" x14ac:dyDescent="0.3">
      <c r="A16" s="1">
        <v>7027</v>
      </c>
      <c r="B16" s="16" t="s">
        <v>659</v>
      </c>
      <c r="C16" t="s">
        <v>565</v>
      </c>
      <c r="D16" s="1" t="b">
        <v>0</v>
      </c>
      <c r="E16">
        <v>7027</v>
      </c>
      <c r="F16" t="s">
        <v>659</v>
      </c>
      <c r="G16" t="s">
        <v>565</v>
      </c>
      <c r="H16" t="b">
        <f t="shared" si="0"/>
        <v>1</v>
      </c>
      <c r="I16" s="1" t="b">
        <v>0</v>
      </c>
      <c r="J16">
        <v>7027</v>
      </c>
      <c r="K16" t="s">
        <v>659</v>
      </c>
      <c r="L16" t="s">
        <v>565</v>
      </c>
      <c r="M16" t="b">
        <f t="shared" si="1"/>
        <v>1</v>
      </c>
      <c r="N16" s="1" t="b">
        <v>0</v>
      </c>
      <c r="O16">
        <v>7027</v>
      </c>
      <c r="P16" s="16" t="s">
        <v>661</v>
      </c>
      <c r="Q16" t="s">
        <v>567</v>
      </c>
      <c r="R16" t="b">
        <f t="shared" si="2"/>
        <v>0</v>
      </c>
      <c r="S16" t="e">
        <v>#N/A</v>
      </c>
      <c r="T16">
        <v>7027</v>
      </c>
      <c r="U16" s="16" t="s">
        <v>659</v>
      </c>
      <c r="V16" t="s">
        <v>565</v>
      </c>
      <c r="W16" t="b">
        <f t="shared" si="3"/>
        <v>1</v>
      </c>
      <c r="X16" t="b">
        <v>0</v>
      </c>
      <c r="Y16">
        <v>7027</v>
      </c>
      <c r="Z16" s="16" t="s">
        <v>659</v>
      </c>
      <c r="AA16" t="s">
        <v>565</v>
      </c>
      <c r="AB16" t="b">
        <f t="shared" si="4"/>
        <v>1</v>
      </c>
      <c r="AC16" t="b">
        <v>0</v>
      </c>
      <c r="AD16">
        <v>7027</v>
      </c>
      <c r="AE16" s="16" t="s">
        <v>659</v>
      </c>
      <c r="AF16" t="s">
        <v>565</v>
      </c>
      <c r="AG16" t="b">
        <f t="shared" si="5"/>
        <v>1</v>
      </c>
      <c r="AH16" t="b">
        <v>0</v>
      </c>
      <c r="AI16">
        <v>7027</v>
      </c>
      <c r="AJ16" s="16" t="s">
        <v>659</v>
      </c>
      <c r="AK16" t="s">
        <v>565</v>
      </c>
      <c r="AL16" t="b">
        <f t="shared" si="6"/>
        <v>1</v>
      </c>
      <c r="AM16" t="b">
        <v>0</v>
      </c>
      <c r="AN16">
        <v>7027</v>
      </c>
      <c r="AO16" s="16" t="s">
        <v>659</v>
      </c>
      <c r="AP16" t="s">
        <v>565</v>
      </c>
      <c r="AQ16" t="b">
        <f t="shared" si="7"/>
        <v>1</v>
      </c>
      <c r="AR16" t="b">
        <v>0</v>
      </c>
      <c r="AS16">
        <v>7027</v>
      </c>
      <c r="AT16" t="s">
        <v>659</v>
      </c>
      <c r="AU16" t="s">
        <v>565</v>
      </c>
      <c r="AV16" t="b">
        <f t="shared" si="8"/>
        <v>1</v>
      </c>
      <c r="AW16" t="b">
        <v>0</v>
      </c>
      <c r="AX16">
        <v>7027</v>
      </c>
      <c r="AY16" s="16" t="s">
        <v>659</v>
      </c>
      <c r="AZ16" t="s">
        <v>565</v>
      </c>
      <c r="BA16" t="b">
        <f t="shared" si="9"/>
        <v>1</v>
      </c>
      <c r="BB16" t="b">
        <v>0</v>
      </c>
      <c r="BC16">
        <v>7027</v>
      </c>
      <c r="BD16" s="16" t="s">
        <v>659</v>
      </c>
      <c r="BE16" t="s">
        <v>565</v>
      </c>
      <c r="BF16" t="b">
        <f t="shared" si="10"/>
        <v>1</v>
      </c>
      <c r="BG16" t="b">
        <v>0</v>
      </c>
    </row>
    <row r="17" spans="1:59" x14ac:dyDescent="0.3">
      <c r="A17" s="1">
        <v>7029</v>
      </c>
      <c r="B17" s="16" t="s">
        <v>660</v>
      </c>
      <c r="C17" t="s">
        <v>566</v>
      </c>
      <c r="D17" s="1" t="b">
        <v>0</v>
      </c>
      <c r="E17">
        <v>7029</v>
      </c>
      <c r="F17" t="s">
        <v>660</v>
      </c>
      <c r="G17" t="s">
        <v>566</v>
      </c>
      <c r="H17" t="b">
        <f t="shared" si="0"/>
        <v>1</v>
      </c>
      <c r="I17" s="1" t="b">
        <v>0</v>
      </c>
      <c r="J17">
        <v>7029</v>
      </c>
      <c r="K17" t="s">
        <v>660</v>
      </c>
      <c r="L17" t="s">
        <v>566</v>
      </c>
      <c r="M17" t="b">
        <f t="shared" si="1"/>
        <v>1</v>
      </c>
      <c r="N17" s="1" t="b">
        <v>0</v>
      </c>
      <c r="O17">
        <v>7029</v>
      </c>
      <c r="P17" s="16" t="s">
        <v>662</v>
      </c>
      <c r="Q17" t="s">
        <v>1026</v>
      </c>
      <c r="R17" t="b">
        <f t="shared" si="2"/>
        <v>0</v>
      </c>
      <c r="S17" t="e">
        <v>#N/A</v>
      </c>
      <c r="T17">
        <v>7029</v>
      </c>
      <c r="U17" s="16" t="s">
        <v>660</v>
      </c>
      <c r="V17" t="s">
        <v>566</v>
      </c>
      <c r="W17" t="b">
        <f t="shared" si="3"/>
        <v>1</v>
      </c>
      <c r="X17" t="b">
        <v>0</v>
      </c>
      <c r="Y17">
        <v>7029</v>
      </c>
      <c r="Z17" s="16" t="s">
        <v>660</v>
      </c>
      <c r="AA17" t="s">
        <v>566</v>
      </c>
      <c r="AB17" t="b">
        <f t="shared" si="4"/>
        <v>1</v>
      </c>
      <c r="AC17" t="b">
        <v>0</v>
      </c>
      <c r="AD17">
        <v>7029</v>
      </c>
      <c r="AE17" s="16" t="s">
        <v>660</v>
      </c>
      <c r="AF17" t="s">
        <v>566</v>
      </c>
      <c r="AG17" t="b">
        <f t="shared" si="5"/>
        <v>1</v>
      </c>
      <c r="AH17" t="b">
        <v>0</v>
      </c>
      <c r="AI17">
        <v>7029</v>
      </c>
      <c r="AJ17" s="16" t="s">
        <v>660</v>
      </c>
      <c r="AK17" t="s">
        <v>566</v>
      </c>
      <c r="AL17" t="b">
        <f t="shared" si="6"/>
        <v>1</v>
      </c>
      <c r="AM17" t="b">
        <v>0</v>
      </c>
      <c r="AN17">
        <v>7029</v>
      </c>
      <c r="AO17" s="16" t="s">
        <v>660</v>
      </c>
      <c r="AP17" t="s">
        <v>566</v>
      </c>
      <c r="AQ17" t="b">
        <f t="shared" si="7"/>
        <v>1</v>
      </c>
      <c r="AR17" t="b">
        <v>0</v>
      </c>
      <c r="AS17">
        <v>7029</v>
      </c>
      <c r="AT17" t="s">
        <v>660</v>
      </c>
      <c r="AU17" t="s">
        <v>566</v>
      </c>
      <c r="AV17" t="b">
        <f t="shared" si="8"/>
        <v>1</v>
      </c>
      <c r="AW17" t="b">
        <v>0</v>
      </c>
      <c r="AX17">
        <v>7029</v>
      </c>
      <c r="AY17" s="16" t="s">
        <v>660</v>
      </c>
      <c r="AZ17" t="s">
        <v>566</v>
      </c>
      <c r="BA17" t="b">
        <f t="shared" si="9"/>
        <v>1</v>
      </c>
      <c r="BB17" t="b">
        <v>0</v>
      </c>
      <c r="BC17">
        <v>7029</v>
      </c>
      <c r="BD17" s="16" t="s">
        <v>660</v>
      </c>
      <c r="BE17" t="s">
        <v>566</v>
      </c>
      <c r="BF17" t="b">
        <f t="shared" si="10"/>
        <v>1</v>
      </c>
      <c r="BG17" t="b">
        <v>0</v>
      </c>
    </row>
    <row r="18" spans="1:59" x14ac:dyDescent="0.3">
      <c r="A18" s="1">
        <v>7031</v>
      </c>
      <c r="B18" s="16" t="s">
        <v>661</v>
      </c>
      <c r="C18" t="s">
        <v>567</v>
      </c>
      <c r="D18" s="1" t="b">
        <v>0</v>
      </c>
      <c r="E18">
        <v>7031</v>
      </c>
      <c r="F18" t="s">
        <v>661</v>
      </c>
      <c r="G18" t="s">
        <v>567</v>
      </c>
      <c r="H18" t="b">
        <f t="shared" si="0"/>
        <v>1</v>
      </c>
      <c r="I18" s="1" t="b">
        <v>0</v>
      </c>
      <c r="J18">
        <v>7031</v>
      </c>
      <c r="K18" t="s">
        <v>661</v>
      </c>
      <c r="L18" t="s">
        <v>567</v>
      </c>
      <c r="M18" t="b">
        <f t="shared" si="1"/>
        <v>1</v>
      </c>
      <c r="N18" s="1" t="b">
        <v>0</v>
      </c>
      <c r="O18">
        <v>7031</v>
      </c>
      <c r="P18" s="16" t="s">
        <v>663</v>
      </c>
      <c r="Q18" t="s">
        <v>1027</v>
      </c>
      <c r="R18" t="b">
        <f t="shared" si="2"/>
        <v>0</v>
      </c>
      <c r="S18" t="e">
        <v>#N/A</v>
      </c>
      <c r="T18">
        <v>7031</v>
      </c>
      <c r="U18" s="16" t="s">
        <v>661</v>
      </c>
      <c r="V18" t="s">
        <v>567</v>
      </c>
      <c r="W18" t="b">
        <f t="shared" si="3"/>
        <v>1</v>
      </c>
      <c r="X18" t="b">
        <v>0</v>
      </c>
      <c r="Y18">
        <v>7031</v>
      </c>
      <c r="Z18" s="16" t="s">
        <v>661</v>
      </c>
      <c r="AA18" t="s">
        <v>567</v>
      </c>
      <c r="AB18" t="b">
        <f t="shared" si="4"/>
        <v>1</v>
      </c>
      <c r="AC18" t="b">
        <v>0</v>
      </c>
      <c r="AD18">
        <v>7031</v>
      </c>
      <c r="AE18" s="16" t="s">
        <v>661</v>
      </c>
      <c r="AF18" t="s">
        <v>567</v>
      </c>
      <c r="AG18" t="b">
        <f t="shared" si="5"/>
        <v>1</v>
      </c>
      <c r="AH18" t="b">
        <v>0</v>
      </c>
      <c r="AI18">
        <v>7031</v>
      </c>
      <c r="AJ18" s="16" t="s">
        <v>661</v>
      </c>
      <c r="AK18" t="s">
        <v>567</v>
      </c>
      <c r="AL18" t="b">
        <f t="shared" si="6"/>
        <v>1</v>
      </c>
      <c r="AM18" t="b">
        <v>0</v>
      </c>
      <c r="AN18">
        <v>7031</v>
      </c>
      <c r="AO18" s="16" t="s">
        <v>661</v>
      </c>
      <c r="AP18" t="s">
        <v>567</v>
      </c>
      <c r="AQ18" t="b">
        <f t="shared" si="7"/>
        <v>1</v>
      </c>
      <c r="AR18" t="b">
        <v>0</v>
      </c>
      <c r="AS18">
        <v>7031</v>
      </c>
      <c r="AT18" t="s">
        <v>661</v>
      </c>
      <c r="AU18" t="s">
        <v>567</v>
      </c>
      <c r="AV18" t="b">
        <f t="shared" si="8"/>
        <v>1</v>
      </c>
      <c r="AW18" t="b">
        <v>0</v>
      </c>
      <c r="AX18">
        <v>7031</v>
      </c>
      <c r="AY18" s="16" t="s">
        <v>661</v>
      </c>
      <c r="AZ18" t="s">
        <v>567</v>
      </c>
      <c r="BA18" t="b">
        <f t="shared" si="9"/>
        <v>1</v>
      </c>
      <c r="BB18" t="b">
        <v>0</v>
      </c>
      <c r="BC18">
        <v>7031</v>
      </c>
      <c r="BD18" s="16" t="s">
        <v>661</v>
      </c>
      <c r="BE18" t="s">
        <v>567</v>
      </c>
      <c r="BF18" t="b">
        <f t="shared" si="10"/>
        <v>1</v>
      </c>
      <c r="BG18" t="b">
        <v>0</v>
      </c>
    </row>
    <row r="19" spans="1:59" x14ac:dyDescent="0.3">
      <c r="A19" s="1">
        <v>7033</v>
      </c>
      <c r="B19" s="16" t="s">
        <v>662</v>
      </c>
      <c r="C19" t="s">
        <v>568</v>
      </c>
      <c r="D19" s="1" t="b">
        <v>0</v>
      </c>
      <c r="E19">
        <v>7033</v>
      </c>
      <c r="F19" t="s">
        <v>662</v>
      </c>
      <c r="G19" t="s">
        <v>568</v>
      </c>
      <c r="H19" t="b">
        <f t="shared" si="0"/>
        <v>1</v>
      </c>
      <c r="I19" s="1" t="b">
        <v>0</v>
      </c>
      <c r="J19">
        <v>7033</v>
      </c>
      <c r="K19" t="s">
        <v>662</v>
      </c>
      <c r="L19" t="s">
        <v>568</v>
      </c>
      <c r="M19" t="b">
        <f t="shared" si="1"/>
        <v>1</v>
      </c>
      <c r="N19" s="1" t="b">
        <v>0</v>
      </c>
      <c r="O19">
        <v>7033</v>
      </c>
      <c r="P19" s="16" t="s">
        <v>664</v>
      </c>
      <c r="Q19" t="s">
        <v>1028</v>
      </c>
      <c r="R19" t="b">
        <f t="shared" si="2"/>
        <v>0</v>
      </c>
      <c r="S19" t="e">
        <v>#N/A</v>
      </c>
      <c r="T19">
        <v>7033</v>
      </c>
      <c r="U19" s="16" t="s">
        <v>662</v>
      </c>
      <c r="V19" t="s">
        <v>568</v>
      </c>
      <c r="W19" t="b">
        <f t="shared" si="3"/>
        <v>1</v>
      </c>
      <c r="X19" t="b">
        <v>0</v>
      </c>
      <c r="Y19">
        <v>7033</v>
      </c>
      <c r="Z19" s="16" t="s">
        <v>662</v>
      </c>
      <c r="AA19" t="s">
        <v>568</v>
      </c>
      <c r="AB19" t="b">
        <f t="shared" si="4"/>
        <v>1</v>
      </c>
      <c r="AC19" t="b">
        <v>0</v>
      </c>
      <c r="AD19">
        <v>7033</v>
      </c>
      <c r="AE19" s="16" t="s">
        <v>662</v>
      </c>
      <c r="AF19" t="s">
        <v>568</v>
      </c>
      <c r="AG19" t="b">
        <f t="shared" si="5"/>
        <v>1</v>
      </c>
      <c r="AH19" t="b">
        <v>0</v>
      </c>
      <c r="AI19">
        <v>7033</v>
      </c>
      <c r="AJ19" s="16" t="s">
        <v>662</v>
      </c>
      <c r="AK19" t="s">
        <v>568</v>
      </c>
      <c r="AL19" t="b">
        <f t="shared" si="6"/>
        <v>1</v>
      </c>
      <c r="AM19" t="b">
        <v>0</v>
      </c>
      <c r="AN19">
        <v>7033</v>
      </c>
      <c r="AO19" s="16" t="s">
        <v>662</v>
      </c>
      <c r="AP19" t="s">
        <v>568</v>
      </c>
      <c r="AQ19" t="b">
        <f t="shared" si="7"/>
        <v>1</v>
      </c>
      <c r="AR19" t="b">
        <v>0</v>
      </c>
      <c r="AS19">
        <v>7033</v>
      </c>
      <c r="AT19" t="s">
        <v>662</v>
      </c>
      <c r="AU19" t="s">
        <v>568</v>
      </c>
      <c r="AV19" t="b">
        <f t="shared" si="8"/>
        <v>1</v>
      </c>
      <c r="AW19" t="b">
        <v>0</v>
      </c>
      <c r="AX19">
        <v>7033</v>
      </c>
      <c r="AY19" s="16" t="s">
        <v>662</v>
      </c>
      <c r="AZ19" t="s">
        <v>568</v>
      </c>
      <c r="BA19" t="b">
        <f t="shared" si="9"/>
        <v>1</v>
      </c>
      <c r="BB19" t="b">
        <v>0</v>
      </c>
      <c r="BC19">
        <v>7033</v>
      </c>
      <c r="BD19" s="16" t="s">
        <v>662</v>
      </c>
      <c r="BE19" t="s">
        <v>568</v>
      </c>
      <c r="BF19" t="b">
        <f t="shared" si="10"/>
        <v>1</v>
      </c>
      <c r="BG19" t="b">
        <v>0</v>
      </c>
    </row>
    <row r="20" spans="1:59" x14ac:dyDescent="0.3">
      <c r="A20" s="1">
        <v>7035</v>
      </c>
      <c r="B20" s="16" t="s">
        <v>663</v>
      </c>
      <c r="C20" t="s">
        <v>569</v>
      </c>
      <c r="D20" s="1" t="b">
        <v>0</v>
      </c>
      <c r="E20">
        <v>7035</v>
      </c>
      <c r="F20" t="s">
        <v>663</v>
      </c>
      <c r="G20" t="s">
        <v>569</v>
      </c>
      <c r="H20" t="b">
        <f t="shared" si="0"/>
        <v>1</v>
      </c>
      <c r="I20" s="1" t="b">
        <v>0</v>
      </c>
      <c r="J20">
        <v>7035</v>
      </c>
      <c r="K20" t="s">
        <v>663</v>
      </c>
      <c r="L20" t="s">
        <v>569</v>
      </c>
      <c r="M20" t="b">
        <f t="shared" si="1"/>
        <v>1</v>
      </c>
      <c r="N20" s="1" t="b">
        <v>0</v>
      </c>
      <c r="O20">
        <v>7035</v>
      </c>
      <c r="P20" s="16" t="s">
        <v>665</v>
      </c>
      <c r="Q20" t="s">
        <v>571</v>
      </c>
      <c r="R20" t="b">
        <f t="shared" si="2"/>
        <v>0</v>
      </c>
      <c r="S20" t="e">
        <v>#N/A</v>
      </c>
      <c r="T20">
        <v>7035</v>
      </c>
      <c r="U20" s="16" t="s">
        <v>663</v>
      </c>
      <c r="V20" t="s">
        <v>569</v>
      </c>
      <c r="W20" t="b">
        <f t="shared" si="3"/>
        <v>1</v>
      </c>
      <c r="X20" t="b">
        <v>0</v>
      </c>
      <c r="Y20">
        <v>7035</v>
      </c>
      <c r="Z20" s="16" t="s">
        <v>663</v>
      </c>
      <c r="AA20" t="s">
        <v>569</v>
      </c>
      <c r="AB20" t="b">
        <f t="shared" si="4"/>
        <v>1</v>
      </c>
      <c r="AC20" t="b">
        <v>0</v>
      </c>
      <c r="AD20">
        <v>7035</v>
      </c>
      <c r="AE20" s="16" t="s">
        <v>663</v>
      </c>
      <c r="AF20" t="s">
        <v>569</v>
      </c>
      <c r="AG20" t="b">
        <f t="shared" si="5"/>
        <v>1</v>
      </c>
      <c r="AH20" t="b">
        <v>0</v>
      </c>
      <c r="AI20">
        <v>7035</v>
      </c>
      <c r="AJ20" s="16" t="s">
        <v>663</v>
      </c>
      <c r="AK20" t="s">
        <v>569</v>
      </c>
      <c r="AL20" t="b">
        <f t="shared" si="6"/>
        <v>1</v>
      </c>
      <c r="AM20" t="b">
        <v>0</v>
      </c>
      <c r="AN20">
        <v>7035</v>
      </c>
      <c r="AO20" s="16" t="s">
        <v>663</v>
      </c>
      <c r="AP20" t="s">
        <v>569</v>
      </c>
      <c r="AQ20" t="b">
        <f t="shared" si="7"/>
        <v>1</v>
      </c>
      <c r="AR20" t="b">
        <v>0</v>
      </c>
      <c r="AS20">
        <v>7035</v>
      </c>
      <c r="AT20" t="s">
        <v>663</v>
      </c>
      <c r="AU20" t="s">
        <v>569</v>
      </c>
      <c r="AV20" t="b">
        <f t="shared" si="8"/>
        <v>1</v>
      </c>
      <c r="AW20" t="b">
        <v>0</v>
      </c>
      <c r="AX20">
        <v>7035</v>
      </c>
      <c r="AY20" s="16" t="s">
        <v>663</v>
      </c>
      <c r="AZ20" t="s">
        <v>569</v>
      </c>
      <c r="BA20" t="b">
        <f t="shared" si="9"/>
        <v>1</v>
      </c>
      <c r="BB20" t="b">
        <v>0</v>
      </c>
      <c r="BC20">
        <v>7035</v>
      </c>
      <c r="BD20" s="16" t="s">
        <v>663</v>
      </c>
      <c r="BE20" t="s">
        <v>569</v>
      </c>
      <c r="BF20" t="b">
        <f t="shared" si="10"/>
        <v>1</v>
      </c>
      <c r="BG20" t="b">
        <v>0</v>
      </c>
    </row>
    <row r="21" spans="1:59" x14ac:dyDescent="0.3">
      <c r="A21" s="1">
        <v>7037</v>
      </c>
      <c r="B21" s="16" t="s">
        <v>664</v>
      </c>
      <c r="C21" t="s">
        <v>570</v>
      </c>
      <c r="D21" s="1" t="b">
        <v>0</v>
      </c>
      <c r="E21">
        <v>7037</v>
      </c>
      <c r="F21" t="s">
        <v>664</v>
      </c>
      <c r="G21" t="s">
        <v>570</v>
      </c>
      <c r="H21" t="b">
        <f t="shared" si="0"/>
        <v>1</v>
      </c>
      <c r="I21" s="1" t="b">
        <v>0</v>
      </c>
      <c r="J21">
        <v>7037</v>
      </c>
      <c r="K21" t="s">
        <v>664</v>
      </c>
      <c r="L21" t="s">
        <v>570</v>
      </c>
      <c r="M21" t="b">
        <f t="shared" si="1"/>
        <v>1</v>
      </c>
      <c r="N21" s="1" t="b">
        <v>0</v>
      </c>
      <c r="O21">
        <v>7037</v>
      </c>
      <c r="P21" s="16" t="s">
        <v>666</v>
      </c>
      <c r="Q21" t="s">
        <v>572</v>
      </c>
      <c r="R21" t="b">
        <f t="shared" si="2"/>
        <v>0</v>
      </c>
      <c r="S21" t="e">
        <v>#N/A</v>
      </c>
      <c r="T21">
        <v>7037</v>
      </c>
      <c r="U21" s="16" t="s">
        <v>664</v>
      </c>
      <c r="V21" t="s">
        <v>570</v>
      </c>
      <c r="W21" t="b">
        <f t="shared" si="3"/>
        <v>1</v>
      </c>
      <c r="X21" t="b">
        <v>0</v>
      </c>
      <c r="Y21">
        <v>7037</v>
      </c>
      <c r="Z21" s="16" t="s">
        <v>664</v>
      </c>
      <c r="AA21" t="s">
        <v>570</v>
      </c>
      <c r="AB21" t="b">
        <f t="shared" si="4"/>
        <v>1</v>
      </c>
      <c r="AC21" t="b">
        <v>0</v>
      </c>
      <c r="AD21">
        <v>7037</v>
      </c>
      <c r="AE21" s="16" t="s">
        <v>664</v>
      </c>
      <c r="AF21" t="s">
        <v>570</v>
      </c>
      <c r="AG21" t="b">
        <f t="shared" si="5"/>
        <v>1</v>
      </c>
      <c r="AH21" t="b">
        <v>0</v>
      </c>
      <c r="AI21">
        <v>7037</v>
      </c>
      <c r="AJ21" s="16" t="s">
        <v>664</v>
      </c>
      <c r="AK21" t="s">
        <v>570</v>
      </c>
      <c r="AL21" t="b">
        <f t="shared" si="6"/>
        <v>1</v>
      </c>
      <c r="AM21" t="b">
        <v>0</v>
      </c>
      <c r="AN21">
        <v>7037</v>
      </c>
      <c r="AO21" s="16" t="s">
        <v>664</v>
      </c>
      <c r="AP21" t="s">
        <v>570</v>
      </c>
      <c r="AQ21" t="b">
        <f t="shared" si="7"/>
        <v>1</v>
      </c>
      <c r="AR21" t="b">
        <v>0</v>
      </c>
      <c r="AS21">
        <v>7037</v>
      </c>
      <c r="AT21" t="s">
        <v>664</v>
      </c>
      <c r="AU21" t="s">
        <v>570</v>
      </c>
      <c r="AV21" t="b">
        <f t="shared" si="8"/>
        <v>1</v>
      </c>
      <c r="AW21" t="b">
        <v>0</v>
      </c>
      <c r="AX21">
        <v>7037</v>
      </c>
      <c r="AY21" s="16" t="s">
        <v>664</v>
      </c>
      <c r="AZ21" t="s">
        <v>570</v>
      </c>
      <c r="BA21" t="b">
        <f t="shared" si="9"/>
        <v>1</v>
      </c>
      <c r="BB21" t="b">
        <v>0</v>
      </c>
      <c r="BC21">
        <v>7037</v>
      </c>
      <c r="BD21" s="16" t="s">
        <v>664</v>
      </c>
      <c r="BE21" t="s">
        <v>570</v>
      </c>
      <c r="BF21" t="b">
        <f t="shared" si="10"/>
        <v>1</v>
      </c>
      <c r="BG21" t="b">
        <v>0</v>
      </c>
    </row>
    <row r="22" spans="1:59" x14ac:dyDescent="0.3">
      <c r="A22" s="1">
        <v>7039</v>
      </c>
      <c r="B22" s="16" t="s">
        <v>665</v>
      </c>
      <c r="C22" t="s">
        <v>571</v>
      </c>
      <c r="D22" s="1" t="b">
        <v>0</v>
      </c>
      <c r="E22">
        <v>7039</v>
      </c>
      <c r="F22" t="s">
        <v>665</v>
      </c>
      <c r="G22" t="s">
        <v>571</v>
      </c>
      <c r="H22" t="b">
        <f t="shared" si="0"/>
        <v>1</v>
      </c>
      <c r="I22" s="1" t="b">
        <v>0</v>
      </c>
      <c r="J22">
        <v>7039</v>
      </c>
      <c r="K22" t="s">
        <v>665</v>
      </c>
      <c r="L22" t="s">
        <v>571</v>
      </c>
      <c r="M22" t="b">
        <f t="shared" si="1"/>
        <v>1</v>
      </c>
      <c r="N22" s="1" t="b">
        <v>0</v>
      </c>
      <c r="O22">
        <v>7039</v>
      </c>
      <c r="P22" s="16" t="s">
        <v>667</v>
      </c>
      <c r="Q22" t="s">
        <v>573</v>
      </c>
      <c r="R22" t="b">
        <f t="shared" si="2"/>
        <v>0</v>
      </c>
      <c r="S22" t="e">
        <v>#N/A</v>
      </c>
      <c r="T22">
        <v>7039</v>
      </c>
      <c r="U22" s="16" t="s">
        <v>665</v>
      </c>
      <c r="V22" t="s">
        <v>571</v>
      </c>
      <c r="W22" t="b">
        <f t="shared" si="3"/>
        <v>1</v>
      </c>
      <c r="X22" t="b">
        <v>0</v>
      </c>
      <c r="Y22">
        <v>7039</v>
      </c>
      <c r="Z22" s="16" t="s">
        <v>665</v>
      </c>
      <c r="AA22" t="s">
        <v>571</v>
      </c>
      <c r="AB22" t="b">
        <f t="shared" si="4"/>
        <v>1</v>
      </c>
      <c r="AC22" t="b">
        <v>0</v>
      </c>
      <c r="AD22">
        <v>7039</v>
      </c>
      <c r="AE22" s="16" t="s">
        <v>665</v>
      </c>
      <c r="AF22" t="s">
        <v>571</v>
      </c>
      <c r="AG22" t="b">
        <f t="shared" si="5"/>
        <v>1</v>
      </c>
      <c r="AH22" t="b">
        <v>0</v>
      </c>
      <c r="AI22">
        <v>7039</v>
      </c>
      <c r="AJ22" s="16" t="s">
        <v>665</v>
      </c>
      <c r="AK22" t="s">
        <v>571</v>
      </c>
      <c r="AL22" t="b">
        <f t="shared" si="6"/>
        <v>1</v>
      </c>
      <c r="AM22" t="b">
        <v>0</v>
      </c>
      <c r="AN22">
        <v>7039</v>
      </c>
      <c r="AO22" s="16" t="s">
        <v>665</v>
      </c>
      <c r="AP22" t="s">
        <v>571</v>
      </c>
      <c r="AQ22" t="b">
        <f t="shared" si="7"/>
        <v>1</v>
      </c>
      <c r="AR22" t="b">
        <v>0</v>
      </c>
      <c r="AS22">
        <v>7039</v>
      </c>
      <c r="AT22" t="s">
        <v>665</v>
      </c>
      <c r="AU22" t="s">
        <v>571</v>
      </c>
      <c r="AV22" t="b">
        <f t="shared" si="8"/>
        <v>1</v>
      </c>
      <c r="AW22" t="b">
        <v>0</v>
      </c>
      <c r="AX22">
        <v>7039</v>
      </c>
      <c r="AY22" s="16" t="s">
        <v>665</v>
      </c>
      <c r="AZ22" t="s">
        <v>571</v>
      </c>
      <c r="BA22" t="b">
        <f t="shared" si="9"/>
        <v>1</v>
      </c>
      <c r="BB22" t="b">
        <v>0</v>
      </c>
      <c r="BC22">
        <v>7039</v>
      </c>
      <c r="BD22" s="16" t="s">
        <v>665</v>
      </c>
      <c r="BE22" t="s">
        <v>571</v>
      </c>
      <c r="BF22" t="b">
        <f t="shared" si="10"/>
        <v>1</v>
      </c>
      <c r="BG22" t="b">
        <v>0</v>
      </c>
    </row>
    <row r="23" spans="1:59" x14ac:dyDescent="0.3">
      <c r="A23" s="1">
        <v>7041</v>
      </c>
      <c r="B23" s="16" t="s">
        <v>666</v>
      </c>
      <c r="C23" t="s">
        <v>572</v>
      </c>
      <c r="D23" s="1" t="b">
        <v>0</v>
      </c>
      <c r="E23">
        <v>7041</v>
      </c>
      <c r="F23" t="s">
        <v>666</v>
      </c>
      <c r="G23" t="s">
        <v>572</v>
      </c>
      <c r="H23" t="b">
        <f t="shared" si="0"/>
        <v>1</v>
      </c>
      <c r="I23" s="1" t="b">
        <v>0</v>
      </c>
      <c r="J23">
        <v>7041</v>
      </c>
      <c r="K23" t="s">
        <v>666</v>
      </c>
      <c r="L23" t="s">
        <v>572</v>
      </c>
      <c r="M23" t="b">
        <f t="shared" si="1"/>
        <v>1</v>
      </c>
      <c r="N23" s="1" t="b">
        <v>0</v>
      </c>
      <c r="O23">
        <v>7041</v>
      </c>
      <c r="P23" s="16" t="s">
        <v>677</v>
      </c>
      <c r="Q23" t="s">
        <v>584</v>
      </c>
      <c r="R23" t="b">
        <f t="shared" si="2"/>
        <v>0</v>
      </c>
      <c r="S23" t="b">
        <v>0</v>
      </c>
      <c r="T23">
        <v>7041</v>
      </c>
      <c r="U23" s="16" t="s">
        <v>666</v>
      </c>
      <c r="V23" t="s">
        <v>572</v>
      </c>
      <c r="W23" t="b">
        <f t="shared" si="3"/>
        <v>1</v>
      </c>
      <c r="X23" t="b">
        <v>0</v>
      </c>
      <c r="Y23">
        <v>7041</v>
      </c>
      <c r="Z23" s="16" t="s">
        <v>666</v>
      </c>
      <c r="AA23" t="s">
        <v>572</v>
      </c>
      <c r="AB23" t="b">
        <f t="shared" si="4"/>
        <v>1</v>
      </c>
      <c r="AC23" t="b">
        <v>0</v>
      </c>
      <c r="AD23">
        <v>7041</v>
      </c>
      <c r="AE23" s="16" t="s">
        <v>666</v>
      </c>
      <c r="AF23" t="s">
        <v>572</v>
      </c>
      <c r="AG23" t="b">
        <f t="shared" si="5"/>
        <v>1</v>
      </c>
      <c r="AH23" t="b">
        <v>0</v>
      </c>
      <c r="AI23">
        <v>7041</v>
      </c>
      <c r="AJ23" s="16" t="s">
        <v>666</v>
      </c>
      <c r="AK23" t="s">
        <v>572</v>
      </c>
      <c r="AL23" t="b">
        <f t="shared" si="6"/>
        <v>1</v>
      </c>
      <c r="AM23" t="b">
        <v>0</v>
      </c>
      <c r="AN23">
        <v>7041</v>
      </c>
      <c r="AO23" s="16" t="s">
        <v>666</v>
      </c>
      <c r="AP23" t="s">
        <v>572</v>
      </c>
      <c r="AQ23" t="b">
        <f t="shared" si="7"/>
        <v>1</v>
      </c>
      <c r="AR23" t="b">
        <v>0</v>
      </c>
      <c r="AS23">
        <v>7041</v>
      </c>
      <c r="AT23" t="s">
        <v>666</v>
      </c>
      <c r="AU23" t="s">
        <v>572</v>
      </c>
      <c r="AV23" t="b">
        <f t="shared" si="8"/>
        <v>1</v>
      </c>
      <c r="AW23" t="b">
        <v>0</v>
      </c>
      <c r="AX23">
        <v>7041</v>
      </c>
      <c r="AY23" s="16" t="s">
        <v>666</v>
      </c>
      <c r="AZ23" t="s">
        <v>572</v>
      </c>
      <c r="BA23" t="b">
        <f t="shared" si="9"/>
        <v>1</v>
      </c>
      <c r="BB23" t="b">
        <v>0</v>
      </c>
      <c r="BC23">
        <v>7041</v>
      </c>
      <c r="BD23" s="16" t="s">
        <v>666</v>
      </c>
      <c r="BE23" t="s">
        <v>572</v>
      </c>
      <c r="BF23" t="b">
        <f t="shared" si="10"/>
        <v>1</v>
      </c>
      <c r="BG23" t="b">
        <v>0</v>
      </c>
    </row>
    <row r="24" spans="1:59" x14ac:dyDescent="0.3">
      <c r="A24" s="1">
        <v>7043</v>
      </c>
      <c r="B24" s="16" t="s">
        <v>667</v>
      </c>
      <c r="C24" t="s">
        <v>573</v>
      </c>
      <c r="D24" s="1" t="b">
        <v>0</v>
      </c>
      <c r="E24">
        <v>7043</v>
      </c>
      <c r="F24" t="s">
        <v>667</v>
      </c>
      <c r="G24" t="s">
        <v>573</v>
      </c>
      <c r="H24" t="b">
        <f t="shared" si="0"/>
        <v>1</v>
      </c>
      <c r="I24" s="1" t="b">
        <v>0</v>
      </c>
      <c r="J24">
        <v>7043</v>
      </c>
      <c r="K24" t="s">
        <v>667</v>
      </c>
      <c r="L24" t="s">
        <v>573</v>
      </c>
      <c r="M24" t="b">
        <f t="shared" si="1"/>
        <v>1</v>
      </c>
      <c r="N24" s="1" t="b">
        <v>0</v>
      </c>
      <c r="O24">
        <v>7043</v>
      </c>
      <c r="P24" s="16" t="s">
        <v>678</v>
      </c>
      <c r="Q24" t="s">
        <v>585</v>
      </c>
      <c r="R24" t="b">
        <f t="shared" si="2"/>
        <v>0</v>
      </c>
      <c r="S24" t="b">
        <v>0</v>
      </c>
      <c r="T24">
        <v>7043</v>
      </c>
      <c r="U24" s="16" t="s">
        <v>667</v>
      </c>
      <c r="V24" t="s">
        <v>573</v>
      </c>
      <c r="W24" t="b">
        <f t="shared" si="3"/>
        <v>1</v>
      </c>
      <c r="X24" t="b">
        <v>0</v>
      </c>
      <c r="Y24">
        <v>7043</v>
      </c>
      <c r="Z24" s="16" t="s">
        <v>667</v>
      </c>
      <c r="AA24" t="s">
        <v>573</v>
      </c>
      <c r="AB24" t="b">
        <f t="shared" si="4"/>
        <v>1</v>
      </c>
      <c r="AC24" t="b">
        <v>0</v>
      </c>
      <c r="AD24">
        <v>7043</v>
      </c>
      <c r="AE24" s="16" t="s">
        <v>667</v>
      </c>
      <c r="AF24" t="s">
        <v>573</v>
      </c>
      <c r="AG24" t="b">
        <f t="shared" si="5"/>
        <v>1</v>
      </c>
      <c r="AH24" t="b">
        <v>0</v>
      </c>
      <c r="AI24">
        <v>7043</v>
      </c>
      <c r="AJ24" s="16" t="s">
        <v>667</v>
      </c>
      <c r="AK24" t="s">
        <v>573</v>
      </c>
      <c r="AL24" t="b">
        <f t="shared" si="6"/>
        <v>1</v>
      </c>
      <c r="AM24" t="b">
        <v>0</v>
      </c>
      <c r="AN24">
        <v>7043</v>
      </c>
      <c r="AO24" s="16" t="s">
        <v>667</v>
      </c>
      <c r="AP24" t="s">
        <v>573</v>
      </c>
      <c r="AQ24" t="b">
        <f t="shared" si="7"/>
        <v>1</v>
      </c>
      <c r="AR24" t="b">
        <v>0</v>
      </c>
      <c r="AS24">
        <v>7043</v>
      </c>
      <c r="AT24" t="s">
        <v>667</v>
      </c>
      <c r="AU24" t="s">
        <v>573</v>
      </c>
      <c r="AV24" t="b">
        <f t="shared" si="8"/>
        <v>1</v>
      </c>
      <c r="AW24" t="b">
        <v>0</v>
      </c>
      <c r="AX24">
        <v>7043</v>
      </c>
      <c r="AY24" s="16" t="s">
        <v>667</v>
      </c>
      <c r="AZ24" t="s">
        <v>573</v>
      </c>
      <c r="BA24" t="b">
        <f t="shared" si="9"/>
        <v>1</v>
      </c>
      <c r="BB24" t="b">
        <v>0</v>
      </c>
      <c r="BC24">
        <v>7043</v>
      </c>
      <c r="BD24" s="16" t="s">
        <v>667</v>
      </c>
      <c r="BE24" t="s">
        <v>573</v>
      </c>
      <c r="BF24" t="b">
        <f t="shared" si="10"/>
        <v>1</v>
      </c>
      <c r="BG24" t="b">
        <v>0</v>
      </c>
    </row>
    <row r="25" spans="1:59" s="30" customFormat="1" x14ac:dyDescent="0.3">
      <c r="A25" s="31">
        <v>7045</v>
      </c>
      <c r="B25" s="32" t="s">
        <v>668</v>
      </c>
      <c r="C25" s="30" t="s">
        <v>574</v>
      </c>
      <c r="D25" s="31">
        <v>22</v>
      </c>
      <c r="E25" s="30">
        <v>7045</v>
      </c>
      <c r="F25" s="30" t="s">
        <v>668</v>
      </c>
      <c r="G25" s="30" t="s">
        <v>574</v>
      </c>
      <c r="H25" s="30" t="b">
        <f t="shared" si="0"/>
        <v>1</v>
      </c>
      <c r="I25" s="31" t="b">
        <v>0</v>
      </c>
      <c r="J25" s="30">
        <v>7045</v>
      </c>
      <c r="K25" s="30" t="s">
        <v>668</v>
      </c>
      <c r="L25" s="30" t="s">
        <v>574</v>
      </c>
      <c r="M25" s="30" t="b">
        <f t="shared" si="1"/>
        <v>1</v>
      </c>
      <c r="N25" s="31" t="b">
        <v>0</v>
      </c>
      <c r="O25" s="30">
        <v>7045</v>
      </c>
      <c r="P25" s="32" t="s">
        <v>679</v>
      </c>
      <c r="Q25" s="30" t="s">
        <v>586</v>
      </c>
      <c r="R25" s="30" t="b">
        <f t="shared" si="2"/>
        <v>0</v>
      </c>
      <c r="S25" s="30" t="b">
        <v>0</v>
      </c>
      <c r="T25" s="30">
        <v>7045</v>
      </c>
      <c r="U25" s="32" t="s">
        <v>668</v>
      </c>
      <c r="V25" s="30" t="s">
        <v>574</v>
      </c>
      <c r="W25" s="30" t="b">
        <f t="shared" si="3"/>
        <v>1</v>
      </c>
      <c r="X25" s="30">
        <v>22</v>
      </c>
      <c r="Y25" s="30">
        <v>7045</v>
      </c>
      <c r="Z25" s="32" t="s">
        <v>668</v>
      </c>
      <c r="AA25" s="30" t="s">
        <v>574</v>
      </c>
      <c r="AB25" s="30" t="b">
        <f t="shared" si="4"/>
        <v>1</v>
      </c>
      <c r="AC25" s="30">
        <v>22</v>
      </c>
      <c r="AD25" s="30">
        <v>7045</v>
      </c>
      <c r="AE25" s="32" t="s">
        <v>668</v>
      </c>
      <c r="AF25" s="30" t="s">
        <v>574</v>
      </c>
      <c r="AG25" s="30" t="b">
        <f t="shared" si="5"/>
        <v>1</v>
      </c>
      <c r="AH25" s="30">
        <v>22</v>
      </c>
      <c r="AI25" s="30">
        <v>7045</v>
      </c>
      <c r="AJ25" s="32" t="s">
        <v>668</v>
      </c>
      <c r="AK25" s="30" t="s">
        <v>574</v>
      </c>
      <c r="AL25" s="30" t="b">
        <f t="shared" si="6"/>
        <v>1</v>
      </c>
      <c r="AM25" s="30">
        <v>22</v>
      </c>
      <c r="AN25" s="30">
        <v>7045</v>
      </c>
      <c r="AO25" s="32" t="s">
        <v>668</v>
      </c>
      <c r="AP25" s="30" t="s">
        <v>574</v>
      </c>
      <c r="AQ25" s="30" t="b">
        <f t="shared" si="7"/>
        <v>1</v>
      </c>
      <c r="AR25" s="30" t="b">
        <v>0</v>
      </c>
      <c r="AS25" s="30">
        <v>7045</v>
      </c>
      <c r="AT25" s="30" t="s">
        <v>668</v>
      </c>
      <c r="AU25" s="30" t="s">
        <v>574</v>
      </c>
      <c r="AV25" s="30" t="b">
        <f t="shared" si="8"/>
        <v>1</v>
      </c>
      <c r="AW25" s="30">
        <v>22</v>
      </c>
      <c r="AX25" s="30">
        <v>7045</v>
      </c>
      <c r="AY25" s="32" t="s">
        <v>668</v>
      </c>
      <c r="AZ25" s="30" t="s">
        <v>574</v>
      </c>
      <c r="BA25" s="30" t="b">
        <f t="shared" si="9"/>
        <v>1</v>
      </c>
      <c r="BB25" s="30">
        <v>22</v>
      </c>
      <c r="BC25" s="30">
        <v>7045</v>
      </c>
      <c r="BD25" s="32" t="s">
        <v>668</v>
      </c>
      <c r="BE25" s="30" t="s">
        <v>574</v>
      </c>
      <c r="BF25" s="30" t="b">
        <f t="shared" si="10"/>
        <v>1</v>
      </c>
      <c r="BG25" s="30" t="b">
        <v>0</v>
      </c>
    </row>
    <row r="26" spans="1:59" s="30" customFormat="1" x14ac:dyDescent="0.3">
      <c r="A26" s="31">
        <v>7047</v>
      </c>
      <c r="B26" s="32" t="s">
        <v>669</v>
      </c>
      <c r="C26" s="30" t="s">
        <v>575</v>
      </c>
      <c r="D26" s="31">
        <v>23</v>
      </c>
      <c r="E26" s="30">
        <v>7047</v>
      </c>
      <c r="F26" s="30" t="s">
        <v>669</v>
      </c>
      <c r="G26" s="30" t="s">
        <v>575</v>
      </c>
      <c r="H26" s="30" t="b">
        <f t="shared" si="0"/>
        <v>1</v>
      </c>
      <c r="I26" s="31" t="b">
        <v>0</v>
      </c>
      <c r="J26" s="30">
        <v>7047</v>
      </c>
      <c r="K26" s="30" t="s">
        <v>669</v>
      </c>
      <c r="L26" s="30" t="s">
        <v>575</v>
      </c>
      <c r="M26" s="30" t="b">
        <f t="shared" si="1"/>
        <v>1</v>
      </c>
      <c r="N26" s="31" t="b">
        <v>0</v>
      </c>
      <c r="O26" s="30">
        <v>7047</v>
      </c>
      <c r="P26" s="32" t="s">
        <v>680</v>
      </c>
      <c r="Q26" s="30" t="s">
        <v>587</v>
      </c>
      <c r="R26" s="30" t="b">
        <f t="shared" si="2"/>
        <v>0</v>
      </c>
      <c r="S26" s="30">
        <v>4</v>
      </c>
      <c r="T26" s="30">
        <v>7047</v>
      </c>
      <c r="U26" s="32" t="s">
        <v>669</v>
      </c>
      <c r="V26" s="30" t="s">
        <v>575</v>
      </c>
      <c r="W26" s="30" t="b">
        <f t="shared" si="3"/>
        <v>1</v>
      </c>
      <c r="X26" s="30">
        <v>23</v>
      </c>
      <c r="Y26" s="30">
        <v>7047</v>
      </c>
      <c r="Z26" s="32" t="s">
        <v>669</v>
      </c>
      <c r="AA26" s="30" t="s">
        <v>575</v>
      </c>
      <c r="AB26" s="30" t="b">
        <f t="shared" si="4"/>
        <v>1</v>
      </c>
      <c r="AC26" s="30">
        <v>23</v>
      </c>
      <c r="AD26" s="30">
        <v>7047</v>
      </c>
      <c r="AE26" s="32" t="s">
        <v>669</v>
      </c>
      <c r="AF26" s="30" t="s">
        <v>575</v>
      </c>
      <c r="AG26" s="30" t="b">
        <f t="shared" si="5"/>
        <v>1</v>
      </c>
      <c r="AH26" s="30">
        <v>23</v>
      </c>
      <c r="AI26" s="30">
        <v>7047</v>
      </c>
      <c r="AJ26" s="32" t="s">
        <v>669</v>
      </c>
      <c r="AK26" s="30" t="s">
        <v>575</v>
      </c>
      <c r="AL26" s="30" t="b">
        <f t="shared" si="6"/>
        <v>1</v>
      </c>
      <c r="AM26" s="30">
        <v>23</v>
      </c>
      <c r="AN26" s="30">
        <v>7047</v>
      </c>
      <c r="AO26" s="32" t="s">
        <v>669</v>
      </c>
      <c r="AP26" s="30" t="s">
        <v>575</v>
      </c>
      <c r="AQ26" s="30" t="b">
        <f t="shared" si="7"/>
        <v>1</v>
      </c>
      <c r="AR26" s="30" t="b">
        <v>0</v>
      </c>
      <c r="AS26" s="30">
        <v>7047</v>
      </c>
      <c r="AT26" s="30" t="s">
        <v>669</v>
      </c>
      <c r="AU26" s="30" t="s">
        <v>575</v>
      </c>
      <c r="AV26" s="30" t="b">
        <f t="shared" si="8"/>
        <v>1</v>
      </c>
      <c r="AW26" s="30">
        <v>23</v>
      </c>
      <c r="AX26" s="30">
        <v>7047</v>
      </c>
      <c r="AY26" s="32" t="s">
        <v>669</v>
      </c>
      <c r="AZ26" s="30" t="s">
        <v>575</v>
      </c>
      <c r="BA26" s="30" t="b">
        <f t="shared" si="9"/>
        <v>1</v>
      </c>
      <c r="BB26" s="30">
        <v>23</v>
      </c>
      <c r="BC26" s="30">
        <v>7047</v>
      </c>
      <c r="BD26" s="32" t="s">
        <v>669</v>
      </c>
      <c r="BE26" s="30" t="s">
        <v>575</v>
      </c>
      <c r="BF26" s="30" t="b">
        <f t="shared" si="10"/>
        <v>1</v>
      </c>
      <c r="BG26" s="30" t="b">
        <v>0</v>
      </c>
    </row>
    <row r="27" spans="1:59" s="30" customFormat="1" x14ac:dyDescent="0.3">
      <c r="A27" s="31">
        <v>7049</v>
      </c>
      <c r="B27" s="32" t="s">
        <v>670</v>
      </c>
      <c r="C27" s="30" t="s">
        <v>576</v>
      </c>
      <c r="D27" s="31">
        <v>24</v>
      </c>
      <c r="E27" s="30">
        <v>7049</v>
      </c>
      <c r="F27" s="30" t="s">
        <v>670</v>
      </c>
      <c r="G27" s="30" t="s">
        <v>576</v>
      </c>
      <c r="H27" s="30" t="b">
        <f t="shared" si="0"/>
        <v>1</v>
      </c>
      <c r="I27" s="31" t="b">
        <v>0</v>
      </c>
      <c r="J27" s="30">
        <v>7049</v>
      </c>
      <c r="K27" s="30" t="s">
        <v>670</v>
      </c>
      <c r="L27" s="30" t="s">
        <v>576</v>
      </c>
      <c r="M27" s="30" t="b">
        <f t="shared" si="1"/>
        <v>1</v>
      </c>
      <c r="N27" s="31" t="b">
        <v>0</v>
      </c>
      <c r="O27" s="30">
        <v>7049</v>
      </c>
      <c r="P27" s="32" t="s">
        <v>681</v>
      </c>
      <c r="Q27" s="30" t="s">
        <v>588</v>
      </c>
      <c r="R27" s="30" t="b">
        <f t="shared" si="2"/>
        <v>0</v>
      </c>
      <c r="S27" s="30">
        <v>5</v>
      </c>
      <c r="T27" s="30">
        <v>7049</v>
      </c>
      <c r="U27" s="32" t="s">
        <v>670</v>
      </c>
      <c r="V27" s="30" t="s">
        <v>576</v>
      </c>
      <c r="W27" s="30" t="b">
        <f t="shared" si="3"/>
        <v>1</v>
      </c>
      <c r="X27" s="30">
        <v>24</v>
      </c>
      <c r="Y27" s="30">
        <v>7049</v>
      </c>
      <c r="Z27" s="32" t="s">
        <v>670</v>
      </c>
      <c r="AA27" s="30" t="s">
        <v>576</v>
      </c>
      <c r="AB27" s="30" t="b">
        <f t="shared" si="4"/>
        <v>1</v>
      </c>
      <c r="AC27" s="30">
        <v>24</v>
      </c>
      <c r="AD27" s="30">
        <v>7049</v>
      </c>
      <c r="AE27" s="32" t="s">
        <v>670</v>
      </c>
      <c r="AF27" s="30" t="s">
        <v>576</v>
      </c>
      <c r="AG27" s="30" t="b">
        <f t="shared" si="5"/>
        <v>1</v>
      </c>
      <c r="AH27" s="30">
        <v>24</v>
      </c>
      <c r="AI27" s="30">
        <v>7049</v>
      </c>
      <c r="AJ27" s="32" t="s">
        <v>670</v>
      </c>
      <c r="AK27" s="30" t="s">
        <v>576</v>
      </c>
      <c r="AL27" s="30" t="b">
        <f t="shared" si="6"/>
        <v>1</v>
      </c>
      <c r="AM27" s="30">
        <v>24</v>
      </c>
      <c r="AN27" s="30">
        <v>7049</v>
      </c>
      <c r="AO27" s="32" t="s">
        <v>670</v>
      </c>
      <c r="AP27" s="30" t="s">
        <v>576</v>
      </c>
      <c r="AQ27" s="30" t="b">
        <f t="shared" si="7"/>
        <v>1</v>
      </c>
      <c r="AR27" s="30" t="b">
        <v>0</v>
      </c>
      <c r="AS27" s="30">
        <v>7049</v>
      </c>
      <c r="AT27" s="30" t="s">
        <v>670</v>
      </c>
      <c r="AU27" s="30" t="s">
        <v>576</v>
      </c>
      <c r="AV27" s="30" t="b">
        <f t="shared" si="8"/>
        <v>1</v>
      </c>
      <c r="AW27" s="30">
        <v>24</v>
      </c>
      <c r="AX27" s="30">
        <v>7049</v>
      </c>
      <c r="AY27" s="32" t="s">
        <v>670</v>
      </c>
      <c r="AZ27" s="30" t="s">
        <v>576</v>
      </c>
      <c r="BA27" s="30" t="b">
        <f t="shared" si="9"/>
        <v>1</v>
      </c>
      <c r="BB27" s="30">
        <v>24</v>
      </c>
      <c r="BC27" s="30">
        <v>7049</v>
      </c>
      <c r="BD27" s="32" t="s">
        <v>670</v>
      </c>
      <c r="BE27" s="30" t="s">
        <v>576</v>
      </c>
      <c r="BF27" s="30" t="b">
        <f t="shared" si="10"/>
        <v>1</v>
      </c>
      <c r="BG27" s="30" t="b">
        <v>0</v>
      </c>
    </row>
    <row r="28" spans="1:59" s="30" customFormat="1" x14ac:dyDescent="0.3">
      <c r="A28" s="31">
        <v>7051</v>
      </c>
      <c r="B28" s="32" t="s">
        <v>671</v>
      </c>
      <c r="C28" s="30" t="s">
        <v>577</v>
      </c>
      <c r="D28" s="31">
        <v>25</v>
      </c>
      <c r="E28" s="30">
        <v>7051</v>
      </c>
      <c r="F28" s="30" t="s">
        <v>671</v>
      </c>
      <c r="G28" s="30" t="s">
        <v>577</v>
      </c>
      <c r="H28" s="30" t="b">
        <f t="shared" si="0"/>
        <v>1</v>
      </c>
      <c r="I28" s="31" t="b">
        <v>0</v>
      </c>
      <c r="J28" s="30">
        <v>7051</v>
      </c>
      <c r="K28" s="30" t="s">
        <v>671</v>
      </c>
      <c r="L28" s="30" t="s">
        <v>577</v>
      </c>
      <c r="M28" s="30" t="b">
        <f t="shared" si="1"/>
        <v>1</v>
      </c>
      <c r="N28" s="31" t="b">
        <v>0</v>
      </c>
      <c r="O28" s="30">
        <v>7051</v>
      </c>
      <c r="P28" s="32" t="s">
        <v>682</v>
      </c>
      <c r="Q28" s="30" t="s">
        <v>589</v>
      </c>
      <c r="R28" s="30" t="b">
        <f t="shared" si="2"/>
        <v>0</v>
      </c>
      <c r="S28" s="30">
        <v>6</v>
      </c>
      <c r="T28" s="30">
        <v>7051</v>
      </c>
      <c r="U28" s="32" t="s">
        <v>671</v>
      </c>
      <c r="V28" s="30" t="s">
        <v>577</v>
      </c>
      <c r="W28" s="30" t="b">
        <f t="shared" si="3"/>
        <v>1</v>
      </c>
      <c r="X28" s="30">
        <v>25</v>
      </c>
      <c r="Y28" s="30">
        <v>7051</v>
      </c>
      <c r="Z28" s="32" t="s">
        <v>671</v>
      </c>
      <c r="AA28" s="30" t="s">
        <v>577</v>
      </c>
      <c r="AB28" s="30" t="b">
        <f t="shared" si="4"/>
        <v>1</v>
      </c>
      <c r="AC28" s="30">
        <v>25</v>
      </c>
      <c r="AD28" s="30">
        <v>7051</v>
      </c>
      <c r="AE28" s="32" t="s">
        <v>671</v>
      </c>
      <c r="AF28" s="30" t="s">
        <v>577</v>
      </c>
      <c r="AG28" s="30" t="b">
        <f t="shared" si="5"/>
        <v>1</v>
      </c>
      <c r="AH28" s="30">
        <v>25</v>
      </c>
      <c r="AI28" s="30">
        <v>7051</v>
      </c>
      <c r="AJ28" s="32" t="s">
        <v>671</v>
      </c>
      <c r="AK28" s="30" t="s">
        <v>577</v>
      </c>
      <c r="AL28" s="30" t="b">
        <f t="shared" si="6"/>
        <v>1</v>
      </c>
      <c r="AM28" s="30">
        <v>25</v>
      </c>
      <c r="AN28" s="30">
        <v>7051</v>
      </c>
      <c r="AO28" s="32" t="s">
        <v>671</v>
      </c>
      <c r="AP28" s="30" t="s">
        <v>577</v>
      </c>
      <c r="AQ28" s="30" t="b">
        <f t="shared" si="7"/>
        <v>1</v>
      </c>
      <c r="AR28" s="30" t="b">
        <v>0</v>
      </c>
      <c r="AS28" s="30">
        <v>7051</v>
      </c>
      <c r="AT28" s="30" t="s">
        <v>671</v>
      </c>
      <c r="AU28" s="30" t="s">
        <v>577</v>
      </c>
      <c r="AV28" s="30" t="b">
        <f t="shared" si="8"/>
        <v>1</v>
      </c>
      <c r="AW28" s="30">
        <v>25</v>
      </c>
      <c r="AX28" s="30">
        <v>7051</v>
      </c>
      <c r="AY28" s="32" t="s">
        <v>671</v>
      </c>
      <c r="AZ28" s="30" t="s">
        <v>577</v>
      </c>
      <c r="BA28" s="30" t="b">
        <f t="shared" si="9"/>
        <v>1</v>
      </c>
      <c r="BB28" s="30">
        <v>25</v>
      </c>
      <c r="BC28" s="30">
        <v>7051</v>
      </c>
      <c r="BD28" s="32" t="s">
        <v>671</v>
      </c>
      <c r="BE28" s="30" t="s">
        <v>577</v>
      </c>
      <c r="BF28" s="30" t="b">
        <f t="shared" si="10"/>
        <v>1</v>
      </c>
      <c r="BG28" s="30" t="b">
        <v>0</v>
      </c>
    </row>
    <row r="29" spans="1:59" x14ac:dyDescent="0.3">
      <c r="A29" s="1">
        <v>7053</v>
      </c>
      <c r="B29" s="16" t="s">
        <v>672</v>
      </c>
      <c r="C29" t="s">
        <v>578</v>
      </c>
      <c r="D29" s="1" t="b">
        <v>0</v>
      </c>
      <c r="E29">
        <v>7053</v>
      </c>
      <c r="F29" t="s">
        <v>672</v>
      </c>
      <c r="G29" t="s">
        <v>578</v>
      </c>
      <c r="H29" t="b">
        <f t="shared" si="0"/>
        <v>1</v>
      </c>
      <c r="I29" s="1" t="b">
        <v>0</v>
      </c>
      <c r="J29">
        <v>7053</v>
      </c>
      <c r="K29" t="s">
        <v>672</v>
      </c>
      <c r="L29" t="s">
        <v>578</v>
      </c>
      <c r="M29" t="b">
        <f t="shared" si="1"/>
        <v>1</v>
      </c>
      <c r="N29" s="1" t="b">
        <v>0</v>
      </c>
      <c r="O29">
        <v>7053</v>
      </c>
      <c r="P29" s="16" t="s">
        <v>683</v>
      </c>
      <c r="Q29" t="s">
        <v>590</v>
      </c>
      <c r="R29" t="b">
        <f t="shared" si="2"/>
        <v>0</v>
      </c>
      <c r="S29" t="e">
        <v>#N/A</v>
      </c>
      <c r="T29">
        <v>7053</v>
      </c>
      <c r="U29" s="16" t="s">
        <v>672</v>
      </c>
      <c r="V29" t="s">
        <v>578</v>
      </c>
      <c r="W29" t="b">
        <f t="shared" si="3"/>
        <v>1</v>
      </c>
      <c r="X29" t="b">
        <v>0</v>
      </c>
      <c r="Y29">
        <v>7053</v>
      </c>
      <c r="Z29" s="16" t="s">
        <v>672</v>
      </c>
      <c r="AA29" t="s">
        <v>578</v>
      </c>
      <c r="AB29" t="b">
        <f t="shared" si="4"/>
        <v>1</v>
      </c>
      <c r="AC29" t="b">
        <v>0</v>
      </c>
      <c r="AD29">
        <v>7053</v>
      </c>
      <c r="AE29" s="16" t="s">
        <v>672</v>
      </c>
      <c r="AF29" t="s">
        <v>578</v>
      </c>
      <c r="AG29" t="b">
        <f t="shared" si="5"/>
        <v>1</v>
      </c>
      <c r="AH29" t="b">
        <v>0</v>
      </c>
      <c r="AI29">
        <v>7053</v>
      </c>
      <c r="AJ29" s="16" t="s">
        <v>672</v>
      </c>
      <c r="AK29" t="s">
        <v>578</v>
      </c>
      <c r="AL29" t="b">
        <f t="shared" si="6"/>
        <v>1</v>
      </c>
      <c r="AM29" t="b">
        <v>0</v>
      </c>
      <c r="AN29">
        <v>7053</v>
      </c>
      <c r="AO29" s="16" t="s">
        <v>672</v>
      </c>
      <c r="AP29" t="s">
        <v>578</v>
      </c>
      <c r="AQ29" t="b">
        <f t="shared" si="7"/>
        <v>1</v>
      </c>
      <c r="AR29" t="b">
        <v>0</v>
      </c>
      <c r="AS29">
        <v>7053</v>
      </c>
      <c r="AT29" t="s">
        <v>672</v>
      </c>
      <c r="AU29" t="s">
        <v>578</v>
      </c>
      <c r="AV29" t="b">
        <f t="shared" si="8"/>
        <v>1</v>
      </c>
      <c r="AW29" t="b">
        <v>0</v>
      </c>
      <c r="AX29">
        <v>7053</v>
      </c>
      <c r="AY29" s="16" t="s">
        <v>672</v>
      </c>
      <c r="AZ29" t="s">
        <v>578</v>
      </c>
      <c r="BA29" t="b">
        <f t="shared" si="9"/>
        <v>1</v>
      </c>
      <c r="BB29" t="b">
        <v>0</v>
      </c>
      <c r="BC29">
        <v>7053</v>
      </c>
      <c r="BD29" s="16" t="s">
        <v>672</v>
      </c>
      <c r="BE29" t="s">
        <v>578</v>
      </c>
      <c r="BF29" t="b">
        <f t="shared" si="10"/>
        <v>1</v>
      </c>
      <c r="BG29" t="b">
        <v>0</v>
      </c>
    </row>
    <row r="30" spans="1:59" x14ac:dyDescent="0.3">
      <c r="A30" s="1">
        <v>7055</v>
      </c>
      <c r="B30" s="16" t="s">
        <v>673</v>
      </c>
      <c r="C30" t="s">
        <v>579</v>
      </c>
      <c r="D30" s="1" t="b">
        <v>0</v>
      </c>
      <c r="E30">
        <v>7055</v>
      </c>
      <c r="F30" t="s">
        <v>673</v>
      </c>
      <c r="G30" t="s">
        <v>579</v>
      </c>
      <c r="H30" t="b">
        <f t="shared" si="0"/>
        <v>1</v>
      </c>
      <c r="I30" s="1" t="b">
        <v>0</v>
      </c>
      <c r="J30">
        <v>7055</v>
      </c>
      <c r="K30" t="s">
        <v>673</v>
      </c>
      <c r="L30" t="s">
        <v>579</v>
      </c>
      <c r="M30" t="b">
        <f t="shared" si="1"/>
        <v>1</v>
      </c>
      <c r="N30" s="1" t="b">
        <v>0</v>
      </c>
      <c r="O30">
        <v>7055</v>
      </c>
      <c r="P30" s="16" t="s">
        <v>684</v>
      </c>
      <c r="Q30" t="s">
        <v>591</v>
      </c>
      <c r="R30" t="b">
        <f t="shared" si="2"/>
        <v>0</v>
      </c>
      <c r="S30" t="e">
        <v>#N/A</v>
      </c>
      <c r="T30">
        <v>7055</v>
      </c>
      <c r="U30" s="16" t="s">
        <v>673</v>
      </c>
      <c r="V30" t="s">
        <v>579</v>
      </c>
      <c r="W30" t="b">
        <f t="shared" si="3"/>
        <v>1</v>
      </c>
      <c r="X30" t="b">
        <v>0</v>
      </c>
      <c r="Y30">
        <v>7055</v>
      </c>
      <c r="Z30" s="16" t="s">
        <v>673</v>
      </c>
      <c r="AA30" t="s">
        <v>579</v>
      </c>
      <c r="AB30" t="b">
        <f t="shared" si="4"/>
        <v>1</v>
      </c>
      <c r="AC30" t="b">
        <v>0</v>
      </c>
      <c r="AD30">
        <v>7055</v>
      </c>
      <c r="AE30" s="16" t="s">
        <v>673</v>
      </c>
      <c r="AF30" t="s">
        <v>579</v>
      </c>
      <c r="AG30" t="b">
        <f t="shared" si="5"/>
        <v>1</v>
      </c>
      <c r="AH30" t="b">
        <v>0</v>
      </c>
      <c r="AI30">
        <v>7055</v>
      </c>
      <c r="AJ30" s="16" t="s">
        <v>673</v>
      </c>
      <c r="AK30" t="s">
        <v>579</v>
      </c>
      <c r="AL30" t="b">
        <f t="shared" si="6"/>
        <v>1</v>
      </c>
      <c r="AM30" t="b">
        <v>0</v>
      </c>
      <c r="AN30">
        <v>7055</v>
      </c>
      <c r="AO30" s="16" t="s">
        <v>673</v>
      </c>
      <c r="AP30" t="s">
        <v>579</v>
      </c>
      <c r="AQ30" t="b">
        <f t="shared" si="7"/>
        <v>1</v>
      </c>
      <c r="AR30" t="b">
        <v>0</v>
      </c>
      <c r="AS30">
        <v>7055</v>
      </c>
      <c r="AT30" t="s">
        <v>673</v>
      </c>
      <c r="AU30" t="s">
        <v>579</v>
      </c>
      <c r="AV30" t="b">
        <f t="shared" si="8"/>
        <v>1</v>
      </c>
      <c r="AW30" t="b">
        <v>0</v>
      </c>
      <c r="AX30">
        <v>7055</v>
      </c>
      <c r="AY30" s="16" t="s">
        <v>673</v>
      </c>
      <c r="AZ30" t="s">
        <v>579</v>
      </c>
      <c r="BA30" t="b">
        <f t="shared" si="9"/>
        <v>1</v>
      </c>
      <c r="BB30" t="b">
        <v>0</v>
      </c>
      <c r="BC30">
        <v>7055</v>
      </c>
      <c r="BD30" s="16" t="s">
        <v>673</v>
      </c>
      <c r="BE30" t="s">
        <v>579</v>
      </c>
      <c r="BF30" t="b">
        <f t="shared" si="10"/>
        <v>1</v>
      </c>
      <c r="BG30" t="b">
        <v>0</v>
      </c>
    </row>
    <row r="31" spans="1:59" x14ac:dyDescent="0.3">
      <c r="A31" s="1">
        <v>7057</v>
      </c>
      <c r="B31" s="16" t="s">
        <v>674</v>
      </c>
      <c r="C31" t="s">
        <v>580</v>
      </c>
      <c r="D31" s="1" t="b">
        <v>0</v>
      </c>
      <c r="E31">
        <v>7057</v>
      </c>
      <c r="F31" t="s">
        <v>674</v>
      </c>
      <c r="G31" t="s">
        <v>580</v>
      </c>
      <c r="H31" t="b">
        <f t="shared" si="0"/>
        <v>1</v>
      </c>
      <c r="I31" s="1" t="b">
        <v>0</v>
      </c>
      <c r="J31">
        <v>7057</v>
      </c>
      <c r="K31" t="s">
        <v>674</v>
      </c>
      <c r="L31" t="s">
        <v>580</v>
      </c>
      <c r="M31" t="b">
        <f t="shared" si="1"/>
        <v>1</v>
      </c>
      <c r="N31" s="1" t="b">
        <v>0</v>
      </c>
      <c r="O31">
        <v>7057</v>
      </c>
      <c r="P31" s="16" t="s">
        <v>685</v>
      </c>
      <c r="Q31" t="s">
        <v>592</v>
      </c>
      <c r="R31" t="b">
        <f t="shared" si="2"/>
        <v>0</v>
      </c>
      <c r="S31" t="e">
        <v>#N/A</v>
      </c>
      <c r="T31">
        <v>7057</v>
      </c>
      <c r="U31" s="16" t="s">
        <v>674</v>
      </c>
      <c r="V31" t="s">
        <v>580</v>
      </c>
      <c r="W31" t="b">
        <f t="shared" si="3"/>
        <v>1</v>
      </c>
      <c r="X31" t="b">
        <v>0</v>
      </c>
      <c r="Y31">
        <v>7057</v>
      </c>
      <c r="Z31" s="16" t="s">
        <v>674</v>
      </c>
      <c r="AA31" t="s">
        <v>580</v>
      </c>
      <c r="AB31" t="b">
        <f t="shared" si="4"/>
        <v>1</v>
      </c>
      <c r="AC31" t="b">
        <v>0</v>
      </c>
      <c r="AD31">
        <v>7057</v>
      </c>
      <c r="AE31" s="16" t="s">
        <v>674</v>
      </c>
      <c r="AF31" t="s">
        <v>580</v>
      </c>
      <c r="AG31" t="b">
        <f t="shared" si="5"/>
        <v>1</v>
      </c>
      <c r="AH31" t="b">
        <v>0</v>
      </c>
      <c r="AI31">
        <v>7057</v>
      </c>
      <c r="AJ31" s="16" t="s">
        <v>674</v>
      </c>
      <c r="AK31" t="s">
        <v>580</v>
      </c>
      <c r="AL31" t="b">
        <f t="shared" si="6"/>
        <v>1</v>
      </c>
      <c r="AM31" t="b">
        <v>0</v>
      </c>
      <c r="AN31">
        <v>7057</v>
      </c>
      <c r="AO31" s="16" t="s">
        <v>674</v>
      </c>
      <c r="AP31" t="s">
        <v>580</v>
      </c>
      <c r="AQ31" t="b">
        <f t="shared" si="7"/>
        <v>1</v>
      </c>
      <c r="AR31" t="b">
        <v>0</v>
      </c>
      <c r="AS31">
        <v>7057</v>
      </c>
      <c r="AT31" t="s">
        <v>674</v>
      </c>
      <c r="AU31" t="s">
        <v>580</v>
      </c>
      <c r="AV31" t="b">
        <f t="shared" si="8"/>
        <v>1</v>
      </c>
      <c r="AW31" t="b">
        <v>0</v>
      </c>
      <c r="AX31">
        <v>7057</v>
      </c>
      <c r="AY31" s="16" t="s">
        <v>674</v>
      </c>
      <c r="AZ31" t="s">
        <v>580</v>
      </c>
      <c r="BA31" t="b">
        <f t="shared" si="9"/>
        <v>1</v>
      </c>
      <c r="BB31" t="b">
        <v>0</v>
      </c>
      <c r="BC31">
        <v>7057</v>
      </c>
      <c r="BD31" s="16" t="s">
        <v>674</v>
      </c>
      <c r="BE31" t="s">
        <v>580</v>
      </c>
      <c r="BF31" t="b">
        <f t="shared" si="10"/>
        <v>1</v>
      </c>
      <c r="BG31" t="b">
        <v>0</v>
      </c>
    </row>
    <row r="32" spans="1:59" s="30" customFormat="1" x14ac:dyDescent="0.3">
      <c r="A32" s="31">
        <v>7059</v>
      </c>
      <c r="B32" s="32" t="s">
        <v>655</v>
      </c>
      <c r="C32" s="30" t="s">
        <v>561</v>
      </c>
      <c r="D32" s="31">
        <v>29</v>
      </c>
      <c r="E32" s="30">
        <v>7059</v>
      </c>
      <c r="F32" s="30" t="s">
        <v>655</v>
      </c>
      <c r="G32" s="30" t="s">
        <v>561</v>
      </c>
      <c r="H32" s="30" t="b">
        <f t="shared" si="0"/>
        <v>1</v>
      </c>
      <c r="I32" s="31" t="b">
        <v>0</v>
      </c>
      <c r="J32" s="30">
        <v>7059</v>
      </c>
      <c r="K32" s="30" t="s">
        <v>655</v>
      </c>
      <c r="L32" s="30" t="s">
        <v>561</v>
      </c>
      <c r="M32" s="30" t="b">
        <f t="shared" si="1"/>
        <v>1</v>
      </c>
      <c r="N32" s="31" t="b">
        <v>0</v>
      </c>
      <c r="O32" s="30">
        <v>7059</v>
      </c>
      <c r="P32" s="32" t="s">
        <v>695</v>
      </c>
      <c r="Q32" s="30" t="s">
        <v>602</v>
      </c>
      <c r="R32" s="30" t="b">
        <f t="shared" si="2"/>
        <v>0</v>
      </c>
      <c r="S32" s="30" t="b">
        <v>0</v>
      </c>
      <c r="T32" s="30">
        <v>7059</v>
      </c>
      <c r="U32" s="32" t="s">
        <v>655</v>
      </c>
      <c r="V32" s="30" t="s">
        <v>561</v>
      </c>
      <c r="W32" s="30" t="b">
        <f t="shared" si="3"/>
        <v>1</v>
      </c>
      <c r="X32" s="30" t="b">
        <v>0</v>
      </c>
      <c r="Y32" s="30">
        <v>7059</v>
      </c>
      <c r="Z32" s="32" t="s">
        <v>655</v>
      </c>
      <c r="AA32" s="30" t="s">
        <v>561</v>
      </c>
      <c r="AB32" s="30" t="b">
        <f t="shared" si="4"/>
        <v>1</v>
      </c>
      <c r="AC32" s="30" t="b">
        <v>0</v>
      </c>
      <c r="AD32" s="30">
        <v>7059</v>
      </c>
      <c r="AE32" s="32" t="s">
        <v>655</v>
      </c>
      <c r="AF32" s="30" t="s">
        <v>561</v>
      </c>
      <c r="AG32" s="30" t="b">
        <f t="shared" si="5"/>
        <v>1</v>
      </c>
      <c r="AH32" s="30" t="b">
        <v>0</v>
      </c>
      <c r="AI32" s="30">
        <v>7059</v>
      </c>
      <c r="AJ32" s="32" t="s">
        <v>655</v>
      </c>
      <c r="AK32" s="30" t="s">
        <v>561</v>
      </c>
      <c r="AL32" s="30" t="b">
        <f t="shared" si="6"/>
        <v>1</v>
      </c>
      <c r="AM32" s="30" t="b">
        <v>0</v>
      </c>
      <c r="AN32" s="30">
        <v>7059</v>
      </c>
      <c r="AO32" s="32" t="s">
        <v>655</v>
      </c>
      <c r="AP32" s="30" t="s">
        <v>561</v>
      </c>
      <c r="AQ32" s="30" t="b">
        <f t="shared" si="7"/>
        <v>1</v>
      </c>
      <c r="AR32" s="30" t="b">
        <v>0</v>
      </c>
      <c r="AS32" s="30">
        <v>7059</v>
      </c>
      <c r="AT32" s="30" t="s">
        <v>655</v>
      </c>
      <c r="AU32" s="30" t="s">
        <v>561</v>
      </c>
      <c r="AV32" s="30" t="b">
        <f t="shared" si="8"/>
        <v>1</v>
      </c>
      <c r="AW32" s="30" t="b">
        <v>0</v>
      </c>
      <c r="AX32" s="30">
        <v>7059</v>
      </c>
      <c r="AY32" s="32" t="s">
        <v>655</v>
      </c>
      <c r="AZ32" s="30" t="s">
        <v>561</v>
      </c>
      <c r="BA32" s="30" t="b">
        <f t="shared" si="9"/>
        <v>1</v>
      </c>
      <c r="BB32" s="30" t="b">
        <v>0</v>
      </c>
      <c r="BC32" s="30">
        <v>7059</v>
      </c>
      <c r="BD32" s="32" t="s">
        <v>655</v>
      </c>
      <c r="BE32" s="30" t="s">
        <v>561</v>
      </c>
      <c r="BF32" s="30" t="b">
        <f t="shared" si="10"/>
        <v>1</v>
      </c>
      <c r="BG32" s="30" t="b">
        <v>0</v>
      </c>
    </row>
    <row r="33" spans="1:59" s="30" customFormat="1" x14ac:dyDescent="0.3">
      <c r="A33" s="31">
        <v>7061</v>
      </c>
      <c r="B33" s="32" t="s">
        <v>656</v>
      </c>
      <c r="C33" s="30" t="s">
        <v>562</v>
      </c>
      <c r="D33" s="31">
        <v>30</v>
      </c>
      <c r="E33" s="30">
        <v>7061</v>
      </c>
      <c r="F33" s="30" t="s">
        <v>656</v>
      </c>
      <c r="G33" s="30" t="s">
        <v>562</v>
      </c>
      <c r="H33" s="30" t="b">
        <f t="shared" si="0"/>
        <v>1</v>
      </c>
      <c r="I33" s="31" t="b">
        <v>0</v>
      </c>
      <c r="J33" s="30">
        <v>7061</v>
      </c>
      <c r="K33" s="30" t="s">
        <v>656</v>
      </c>
      <c r="L33" s="30" t="s">
        <v>562</v>
      </c>
      <c r="M33" s="30" t="b">
        <f t="shared" si="1"/>
        <v>1</v>
      </c>
      <c r="N33" s="31" t="b">
        <v>0</v>
      </c>
      <c r="O33" s="30">
        <v>7061</v>
      </c>
      <c r="P33" s="32" t="s">
        <v>698</v>
      </c>
      <c r="Q33" s="30" t="s">
        <v>605</v>
      </c>
      <c r="R33" s="30" t="b">
        <f t="shared" si="2"/>
        <v>0</v>
      </c>
      <c r="S33" s="30">
        <v>8</v>
      </c>
      <c r="T33" s="30">
        <v>7061</v>
      </c>
      <c r="U33" s="32" t="s">
        <v>656</v>
      </c>
      <c r="V33" s="30" t="s">
        <v>562</v>
      </c>
      <c r="W33" s="30" t="b">
        <f t="shared" si="3"/>
        <v>1</v>
      </c>
      <c r="X33" s="30" t="b">
        <v>0</v>
      </c>
      <c r="Y33" s="30">
        <v>7061</v>
      </c>
      <c r="Z33" s="32" t="s">
        <v>656</v>
      </c>
      <c r="AA33" s="30" t="s">
        <v>562</v>
      </c>
      <c r="AB33" s="30" t="b">
        <f t="shared" si="4"/>
        <v>1</v>
      </c>
      <c r="AC33" s="30" t="b">
        <v>0</v>
      </c>
      <c r="AD33" s="30">
        <v>7061</v>
      </c>
      <c r="AE33" s="32" t="s">
        <v>656</v>
      </c>
      <c r="AF33" s="30" t="s">
        <v>562</v>
      </c>
      <c r="AG33" s="30" t="b">
        <f t="shared" si="5"/>
        <v>1</v>
      </c>
      <c r="AH33" s="30" t="b">
        <v>0</v>
      </c>
      <c r="AI33" s="30">
        <v>7061</v>
      </c>
      <c r="AJ33" s="32" t="s">
        <v>656</v>
      </c>
      <c r="AK33" s="30" t="s">
        <v>562</v>
      </c>
      <c r="AL33" s="30" t="b">
        <f t="shared" si="6"/>
        <v>1</v>
      </c>
      <c r="AM33" s="30" t="b">
        <v>0</v>
      </c>
      <c r="AN33" s="30">
        <v>7061</v>
      </c>
      <c r="AO33" s="32" t="s">
        <v>656</v>
      </c>
      <c r="AP33" s="30" t="s">
        <v>562</v>
      </c>
      <c r="AQ33" s="30" t="b">
        <f t="shared" si="7"/>
        <v>1</v>
      </c>
      <c r="AR33" s="30" t="b">
        <v>0</v>
      </c>
      <c r="AS33" s="30">
        <v>7061</v>
      </c>
      <c r="AT33" s="30" t="s">
        <v>656</v>
      </c>
      <c r="AU33" s="30" t="s">
        <v>562</v>
      </c>
      <c r="AV33" s="30" t="b">
        <f t="shared" si="8"/>
        <v>1</v>
      </c>
      <c r="AW33" s="30" t="b">
        <v>0</v>
      </c>
      <c r="AX33" s="30">
        <v>7061</v>
      </c>
      <c r="AY33" s="32" t="s">
        <v>656</v>
      </c>
      <c r="AZ33" s="30" t="s">
        <v>562</v>
      </c>
      <c r="BA33" s="30" t="b">
        <f t="shared" si="9"/>
        <v>1</v>
      </c>
      <c r="BB33" s="30" t="b">
        <v>0</v>
      </c>
      <c r="BC33" s="30">
        <v>7061</v>
      </c>
      <c r="BD33" s="32" t="s">
        <v>656</v>
      </c>
      <c r="BE33" s="30" t="s">
        <v>562</v>
      </c>
      <c r="BF33" s="30" t="b">
        <f t="shared" si="10"/>
        <v>1</v>
      </c>
      <c r="BG33" s="30" t="b">
        <v>0</v>
      </c>
    </row>
    <row r="34" spans="1:59" s="30" customFormat="1" x14ac:dyDescent="0.3">
      <c r="A34" s="31">
        <v>7063</v>
      </c>
      <c r="B34" s="32" t="s">
        <v>657</v>
      </c>
      <c r="C34" s="30" t="s">
        <v>563</v>
      </c>
      <c r="D34" s="31">
        <v>31</v>
      </c>
      <c r="E34" s="30">
        <v>7063</v>
      </c>
      <c r="F34" s="30" t="s">
        <v>657</v>
      </c>
      <c r="G34" s="30" t="s">
        <v>563</v>
      </c>
      <c r="H34" s="30" t="b">
        <f t="shared" si="0"/>
        <v>1</v>
      </c>
      <c r="I34" s="31" t="b">
        <v>0</v>
      </c>
      <c r="J34" s="30">
        <v>7063</v>
      </c>
      <c r="K34" s="30" t="s">
        <v>657</v>
      </c>
      <c r="L34" s="30" t="s">
        <v>563</v>
      </c>
      <c r="M34" s="30" t="b">
        <f t="shared" si="1"/>
        <v>1</v>
      </c>
      <c r="N34" s="31" t="b">
        <v>0</v>
      </c>
      <c r="O34" s="30">
        <v>7063</v>
      </c>
      <c r="P34" s="32" t="s">
        <v>1029</v>
      </c>
      <c r="Q34" s="30" t="s">
        <v>1030</v>
      </c>
      <c r="R34" s="30" t="b">
        <f t="shared" si="2"/>
        <v>0</v>
      </c>
      <c r="S34" s="30" t="e">
        <v>#N/A</v>
      </c>
      <c r="T34" s="30">
        <v>7063</v>
      </c>
      <c r="U34" s="32" t="s">
        <v>657</v>
      </c>
      <c r="V34" s="30" t="s">
        <v>563</v>
      </c>
      <c r="W34" s="30" t="b">
        <f t="shared" si="3"/>
        <v>1</v>
      </c>
      <c r="X34" s="30" t="b">
        <v>0</v>
      </c>
      <c r="Y34" s="30">
        <v>7063</v>
      </c>
      <c r="Z34" s="32" t="s">
        <v>657</v>
      </c>
      <c r="AA34" s="30" t="s">
        <v>563</v>
      </c>
      <c r="AB34" s="30" t="b">
        <f t="shared" si="4"/>
        <v>1</v>
      </c>
      <c r="AC34" s="30" t="b">
        <v>0</v>
      </c>
      <c r="AD34" s="30">
        <v>7063</v>
      </c>
      <c r="AE34" s="32" t="s">
        <v>657</v>
      </c>
      <c r="AF34" s="30" t="s">
        <v>563</v>
      </c>
      <c r="AG34" s="30" t="b">
        <f t="shared" si="5"/>
        <v>1</v>
      </c>
      <c r="AH34" s="30" t="b">
        <v>0</v>
      </c>
      <c r="AI34" s="30">
        <v>7063</v>
      </c>
      <c r="AJ34" s="32" t="s">
        <v>657</v>
      </c>
      <c r="AK34" s="30" t="s">
        <v>563</v>
      </c>
      <c r="AL34" s="30" t="b">
        <f t="shared" si="6"/>
        <v>1</v>
      </c>
      <c r="AM34" s="30" t="b">
        <v>0</v>
      </c>
      <c r="AN34" s="30">
        <v>7063</v>
      </c>
      <c r="AO34" s="32" t="s">
        <v>657</v>
      </c>
      <c r="AP34" s="30" t="s">
        <v>563</v>
      </c>
      <c r="AQ34" s="30" t="b">
        <f t="shared" si="7"/>
        <v>1</v>
      </c>
      <c r="AR34" s="30" t="b">
        <v>0</v>
      </c>
      <c r="AS34" s="30">
        <v>7063</v>
      </c>
      <c r="AT34" s="30" t="s">
        <v>657</v>
      </c>
      <c r="AU34" s="30" t="s">
        <v>563</v>
      </c>
      <c r="AV34" s="30" t="b">
        <f t="shared" si="8"/>
        <v>1</v>
      </c>
      <c r="AW34" s="30" t="b">
        <v>0</v>
      </c>
      <c r="AX34" s="30">
        <v>7063</v>
      </c>
      <c r="AY34" s="32" t="s">
        <v>657</v>
      </c>
      <c r="AZ34" s="30" t="s">
        <v>563</v>
      </c>
      <c r="BA34" s="30" t="b">
        <f t="shared" si="9"/>
        <v>1</v>
      </c>
      <c r="BB34" s="30" t="b">
        <v>0</v>
      </c>
      <c r="BC34" s="30">
        <v>7063</v>
      </c>
      <c r="BD34" s="32" t="s">
        <v>657</v>
      </c>
      <c r="BE34" s="30" t="s">
        <v>563</v>
      </c>
      <c r="BF34" s="30" t="b">
        <f t="shared" si="10"/>
        <v>1</v>
      </c>
      <c r="BG34" s="30" t="b">
        <v>0</v>
      </c>
    </row>
    <row r="35" spans="1:59" s="30" customFormat="1" x14ac:dyDescent="0.3">
      <c r="A35" s="31">
        <v>7065</v>
      </c>
      <c r="B35" s="32" t="s">
        <v>675</v>
      </c>
      <c r="C35" s="30" t="s">
        <v>581</v>
      </c>
      <c r="D35" s="31">
        <v>32</v>
      </c>
      <c r="E35" s="30">
        <v>7065</v>
      </c>
      <c r="F35" s="30" t="s">
        <v>675</v>
      </c>
      <c r="G35" s="30" t="s">
        <v>581</v>
      </c>
      <c r="H35" s="30" t="b">
        <f t="shared" si="0"/>
        <v>1</v>
      </c>
      <c r="I35" s="31" t="b">
        <v>0</v>
      </c>
      <c r="J35" s="30">
        <v>7065</v>
      </c>
      <c r="K35" s="30" t="s">
        <v>675</v>
      </c>
      <c r="L35" s="30" t="s">
        <v>581</v>
      </c>
      <c r="M35" s="30" t="b">
        <f t="shared" si="1"/>
        <v>1</v>
      </c>
      <c r="N35" s="31" t="b">
        <v>0</v>
      </c>
      <c r="O35" s="30">
        <v>7069</v>
      </c>
      <c r="P35" s="32" t="s">
        <v>644</v>
      </c>
      <c r="Q35" s="30" t="s">
        <v>1031</v>
      </c>
      <c r="R35" s="30" t="b">
        <f t="shared" si="2"/>
        <v>0</v>
      </c>
      <c r="S35" s="30" t="e">
        <v>#N/A</v>
      </c>
      <c r="T35" s="30">
        <v>7065</v>
      </c>
      <c r="U35" s="32" t="s">
        <v>675</v>
      </c>
      <c r="V35" s="30" t="s">
        <v>581</v>
      </c>
      <c r="W35" s="30" t="b">
        <f t="shared" si="3"/>
        <v>1</v>
      </c>
      <c r="X35" s="30" t="b">
        <v>0</v>
      </c>
      <c r="Y35" s="30">
        <v>7065</v>
      </c>
      <c r="Z35" s="32" t="s">
        <v>675</v>
      </c>
      <c r="AA35" s="30" t="s">
        <v>581</v>
      </c>
      <c r="AB35" s="30" t="b">
        <f t="shared" si="4"/>
        <v>1</v>
      </c>
      <c r="AC35" s="30" t="b">
        <v>0</v>
      </c>
      <c r="AD35" s="30">
        <v>7065</v>
      </c>
      <c r="AE35" s="32" t="s">
        <v>675</v>
      </c>
      <c r="AF35" s="30" t="s">
        <v>581</v>
      </c>
      <c r="AG35" s="30" t="b">
        <f t="shared" si="5"/>
        <v>1</v>
      </c>
      <c r="AH35" s="30" t="b">
        <v>0</v>
      </c>
      <c r="AI35" s="30">
        <v>7065</v>
      </c>
      <c r="AJ35" s="32" t="s">
        <v>675</v>
      </c>
      <c r="AK35" s="30" t="s">
        <v>581</v>
      </c>
      <c r="AL35" s="30" t="b">
        <f t="shared" si="6"/>
        <v>1</v>
      </c>
      <c r="AM35" s="30" t="b">
        <v>0</v>
      </c>
      <c r="AN35" s="30">
        <v>7065</v>
      </c>
      <c r="AO35" s="32" t="s">
        <v>675</v>
      </c>
      <c r="AP35" s="30" t="s">
        <v>581</v>
      </c>
      <c r="AQ35" s="30" t="b">
        <f t="shared" si="7"/>
        <v>1</v>
      </c>
      <c r="AR35" s="30" t="b">
        <v>0</v>
      </c>
      <c r="AS35" s="30">
        <v>7065</v>
      </c>
      <c r="AT35" s="30" t="s">
        <v>675</v>
      </c>
      <c r="AU35" s="30" t="s">
        <v>581</v>
      </c>
      <c r="AV35" s="30" t="b">
        <f t="shared" si="8"/>
        <v>1</v>
      </c>
      <c r="AW35" s="30" t="b">
        <v>0</v>
      </c>
      <c r="AX35" s="30">
        <v>7065</v>
      </c>
      <c r="AY35" s="32" t="s">
        <v>675</v>
      </c>
      <c r="AZ35" s="30" t="s">
        <v>581</v>
      </c>
      <c r="BA35" s="30" t="b">
        <f t="shared" si="9"/>
        <v>1</v>
      </c>
      <c r="BB35" s="30" t="b">
        <v>0</v>
      </c>
      <c r="BC35" s="30">
        <v>7065</v>
      </c>
      <c r="BD35" s="32" t="s">
        <v>675</v>
      </c>
      <c r="BE35" s="30" t="s">
        <v>581</v>
      </c>
      <c r="BF35" s="30" t="b">
        <f t="shared" si="10"/>
        <v>1</v>
      </c>
      <c r="BG35" s="30" t="b">
        <v>0</v>
      </c>
    </row>
    <row r="36" spans="1:59" x14ac:dyDescent="0.3">
      <c r="A36" s="1">
        <v>7067</v>
      </c>
      <c r="B36" s="16" t="s">
        <v>676</v>
      </c>
      <c r="C36" t="s">
        <v>582</v>
      </c>
      <c r="D36" s="1" t="b">
        <v>0</v>
      </c>
      <c r="E36">
        <v>7067</v>
      </c>
      <c r="F36" t="s">
        <v>676</v>
      </c>
      <c r="G36" t="s">
        <v>582</v>
      </c>
      <c r="H36" t="b">
        <f t="shared" si="0"/>
        <v>1</v>
      </c>
      <c r="I36" s="1" t="b">
        <v>0</v>
      </c>
      <c r="J36">
        <v>7067</v>
      </c>
      <c r="K36" t="s">
        <v>676</v>
      </c>
      <c r="L36" t="s">
        <v>582</v>
      </c>
      <c r="M36" t="b">
        <f t="shared" si="1"/>
        <v>1</v>
      </c>
      <c r="N36" s="1" t="b">
        <v>0</v>
      </c>
      <c r="O36">
        <v>7075</v>
      </c>
      <c r="P36" s="16" t="s">
        <v>639</v>
      </c>
      <c r="Q36" t="s">
        <v>1032</v>
      </c>
      <c r="R36" t="b">
        <f t="shared" si="2"/>
        <v>0</v>
      </c>
      <c r="S36" t="e">
        <v>#N/A</v>
      </c>
      <c r="T36">
        <v>7067</v>
      </c>
      <c r="U36" s="16" t="s">
        <v>676</v>
      </c>
      <c r="V36" t="s">
        <v>582</v>
      </c>
      <c r="W36" t="b">
        <f t="shared" si="3"/>
        <v>1</v>
      </c>
      <c r="X36" t="b">
        <v>0</v>
      </c>
      <c r="Y36">
        <v>7067</v>
      </c>
      <c r="Z36" s="16" t="s">
        <v>676</v>
      </c>
      <c r="AA36" t="s">
        <v>582</v>
      </c>
      <c r="AB36" t="b">
        <f t="shared" si="4"/>
        <v>1</v>
      </c>
      <c r="AC36" t="b">
        <v>0</v>
      </c>
      <c r="AD36">
        <v>7067</v>
      </c>
      <c r="AE36" s="16" t="s">
        <v>676</v>
      </c>
      <c r="AF36" t="s">
        <v>582</v>
      </c>
      <c r="AG36" t="b">
        <f t="shared" si="5"/>
        <v>1</v>
      </c>
      <c r="AH36" t="b">
        <v>0</v>
      </c>
      <c r="AI36">
        <v>7067</v>
      </c>
      <c r="AJ36" s="16" t="s">
        <v>676</v>
      </c>
      <c r="AK36" t="s">
        <v>582</v>
      </c>
      <c r="AL36" t="b">
        <f t="shared" si="6"/>
        <v>1</v>
      </c>
      <c r="AM36" t="b">
        <v>0</v>
      </c>
      <c r="AN36">
        <v>7067</v>
      </c>
      <c r="AO36" s="16" t="s">
        <v>676</v>
      </c>
      <c r="AP36" t="s">
        <v>582</v>
      </c>
      <c r="AQ36" t="b">
        <f t="shared" si="7"/>
        <v>1</v>
      </c>
      <c r="AR36" t="b">
        <v>0</v>
      </c>
      <c r="AS36">
        <v>7067</v>
      </c>
      <c r="AT36" t="s">
        <v>676</v>
      </c>
      <c r="AU36" t="s">
        <v>582</v>
      </c>
      <c r="AV36" t="b">
        <f t="shared" si="8"/>
        <v>1</v>
      </c>
      <c r="AW36" t="b">
        <v>0</v>
      </c>
      <c r="AX36">
        <v>7067</v>
      </c>
      <c r="AY36" s="16" t="s">
        <v>676</v>
      </c>
      <c r="AZ36" t="s">
        <v>582</v>
      </c>
      <c r="BA36" t="b">
        <f t="shared" si="9"/>
        <v>1</v>
      </c>
      <c r="BB36" t="b">
        <v>0</v>
      </c>
      <c r="BC36">
        <v>7067</v>
      </c>
      <c r="BD36" s="16" t="s">
        <v>676</v>
      </c>
      <c r="BE36" t="s">
        <v>582</v>
      </c>
      <c r="BF36" t="b">
        <f t="shared" si="10"/>
        <v>1</v>
      </c>
      <c r="BG36" t="b">
        <v>0</v>
      </c>
    </row>
    <row r="37" spans="1:59" x14ac:dyDescent="0.3">
      <c r="A37" s="1">
        <v>7069</v>
      </c>
      <c r="B37" s="16" t="s">
        <v>658</v>
      </c>
      <c r="C37" t="s">
        <v>583</v>
      </c>
      <c r="D37" s="1" t="b">
        <v>0</v>
      </c>
      <c r="E37">
        <v>7069</v>
      </c>
      <c r="F37" t="s">
        <v>658</v>
      </c>
      <c r="G37" t="s">
        <v>583</v>
      </c>
      <c r="H37" t="b">
        <f t="shared" si="0"/>
        <v>1</v>
      </c>
      <c r="I37" s="1" t="b">
        <v>0</v>
      </c>
      <c r="J37">
        <v>7069</v>
      </c>
      <c r="K37" t="s">
        <v>658</v>
      </c>
      <c r="L37" t="s">
        <v>583</v>
      </c>
      <c r="M37" t="b">
        <f t="shared" si="1"/>
        <v>1</v>
      </c>
      <c r="N37" s="1" t="b">
        <v>0</v>
      </c>
      <c r="O37">
        <v>7077</v>
      </c>
      <c r="P37" s="16" t="s">
        <v>747</v>
      </c>
      <c r="Q37" t="s">
        <v>1033</v>
      </c>
      <c r="R37" t="b">
        <f t="shared" si="2"/>
        <v>0</v>
      </c>
      <c r="S37" t="e">
        <v>#N/A</v>
      </c>
      <c r="T37">
        <v>7069</v>
      </c>
      <c r="U37" s="16" t="s">
        <v>658</v>
      </c>
      <c r="V37" t="s">
        <v>583</v>
      </c>
      <c r="W37" t="b">
        <f t="shared" si="3"/>
        <v>1</v>
      </c>
      <c r="X37" t="b">
        <v>0</v>
      </c>
      <c r="Y37">
        <v>7069</v>
      </c>
      <c r="Z37" s="16" t="s">
        <v>658</v>
      </c>
      <c r="AA37" t="s">
        <v>583</v>
      </c>
      <c r="AB37" t="b">
        <f t="shared" si="4"/>
        <v>1</v>
      </c>
      <c r="AC37" t="b">
        <v>0</v>
      </c>
      <c r="AD37">
        <v>7069</v>
      </c>
      <c r="AE37" s="16" t="s">
        <v>658</v>
      </c>
      <c r="AF37" t="s">
        <v>583</v>
      </c>
      <c r="AG37" t="b">
        <f t="shared" si="5"/>
        <v>1</v>
      </c>
      <c r="AH37" t="b">
        <v>0</v>
      </c>
      <c r="AI37">
        <v>7069</v>
      </c>
      <c r="AJ37" s="16" t="s">
        <v>658</v>
      </c>
      <c r="AK37" t="s">
        <v>583</v>
      </c>
      <c r="AL37" t="b">
        <f t="shared" si="6"/>
        <v>1</v>
      </c>
      <c r="AM37" t="b">
        <v>0</v>
      </c>
      <c r="AN37">
        <v>7069</v>
      </c>
      <c r="AO37" s="16" t="s">
        <v>658</v>
      </c>
      <c r="AP37" t="s">
        <v>583</v>
      </c>
      <c r="AQ37" t="b">
        <f t="shared" si="7"/>
        <v>1</v>
      </c>
      <c r="AR37" t="b">
        <v>0</v>
      </c>
      <c r="AS37">
        <v>7069</v>
      </c>
      <c r="AT37" t="s">
        <v>658</v>
      </c>
      <c r="AU37" t="s">
        <v>583</v>
      </c>
      <c r="AV37" t="b">
        <f t="shared" si="8"/>
        <v>1</v>
      </c>
      <c r="AW37" t="b">
        <v>0</v>
      </c>
      <c r="AX37">
        <v>7069</v>
      </c>
      <c r="AY37" s="16" t="s">
        <v>658</v>
      </c>
      <c r="AZ37" t="s">
        <v>583</v>
      </c>
      <c r="BA37" t="b">
        <f t="shared" si="9"/>
        <v>1</v>
      </c>
      <c r="BB37" t="b">
        <v>0</v>
      </c>
      <c r="BC37">
        <v>7069</v>
      </c>
      <c r="BD37" s="16" t="s">
        <v>658</v>
      </c>
      <c r="BE37" t="s">
        <v>583</v>
      </c>
      <c r="BF37" t="b">
        <f t="shared" si="10"/>
        <v>1</v>
      </c>
      <c r="BG37" t="b">
        <v>0</v>
      </c>
    </row>
    <row r="38" spans="1:59" x14ac:dyDescent="0.3">
      <c r="A38" s="31">
        <v>7071</v>
      </c>
      <c r="B38" s="32" t="s">
        <v>677</v>
      </c>
      <c r="C38" s="30" t="s">
        <v>584</v>
      </c>
      <c r="D38" s="31" t="b">
        <v>0</v>
      </c>
      <c r="E38" s="30">
        <v>7071</v>
      </c>
      <c r="F38" t="s">
        <v>677</v>
      </c>
      <c r="G38" t="s">
        <v>584</v>
      </c>
      <c r="H38" t="b">
        <f t="shared" si="0"/>
        <v>1</v>
      </c>
      <c r="I38" s="1" t="b">
        <v>0</v>
      </c>
      <c r="J38">
        <v>7071</v>
      </c>
      <c r="K38" t="s">
        <v>677</v>
      </c>
      <c r="L38" t="s">
        <v>584</v>
      </c>
      <c r="M38" t="b">
        <f t="shared" si="1"/>
        <v>1</v>
      </c>
      <c r="N38" s="1" t="b">
        <v>0</v>
      </c>
      <c r="O38">
        <v>7079</v>
      </c>
      <c r="P38" s="16" t="s">
        <v>744</v>
      </c>
      <c r="Q38" t="s">
        <v>1034</v>
      </c>
      <c r="R38" t="b">
        <f t="shared" si="2"/>
        <v>0</v>
      </c>
      <c r="S38" t="e">
        <v>#N/A</v>
      </c>
      <c r="T38" s="30">
        <v>7071</v>
      </c>
      <c r="U38" s="32" t="s">
        <v>677</v>
      </c>
      <c r="V38" s="30" t="s">
        <v>584</v>
      </c>
      <c r="W38" s="30" t="b">
        <f t="shared" si="3"/>
        <v>1</v>
      </c>
      <c r="X38" s="30">
        <v>35</v>
      </c>
      <c r="Y38">
        <v>7071</v>
      </c>
      <c r="Z38" s="16" t="s">
        <v>677</v>
      </c>
      <c r="AA38" t="s">
        <v>584</v>
      </c>
      <c r="AB38" t="b">
        <f t="shared" si="4"/>
        <v>1</v>
      </c>
      <c r="AC38" t="b">
        <v>0</v>
      </c>
      <c r="AD38">
        <v>7071</v>
      </c>
      <c r="AE38" s="16" t="s">
        <v>677</v>
      </c>
      <c r="AF38" t="s">
        <v>584</v>
      </c>
      <c r="AG38" t="b">
        <f t="shared" si="5"/>
        <v>1</v>
      </c>
      <c r="AH38" t="b">
        <v>0</v>
      </c>
      <c r="AI38">
        <v>7071</v>
      </c>
      <c r="AJ38" s="16" t="s">
        <v>677</v>
      </c>
      <c r="AK38" t="s">
        <v>584</v>
      </c>
      <c r="AL38" t="b">
        <f t="shared" si="6"/>
        <v>1</v>
      </c>
      <c r="AM38" t="b">
        <v>0</v>
      </c>
      <c r="AN38">
        <v>7071</v>
      </c>
      <c r="AO38" s="16" t="s">
        <v>677</v>
      </c>
      <c r="AP38" t="s">
        <v>584</v>
      </c>
      <c r="AQ38" t="b">
        <f t="shared" si="7"/>
        <v>1</v>
      </c>
      <c r="AR38" t="b">
        <v>0</v>
      </c>
      <c r="AS38">
        <v>7071</v>
      </c>
      <c r="AT38" t="s">
        <v>677</v>
      </c>
      <c r="AU38" t="s">
        <v>584</v>
      </c>
      <c r="AV38" t="b">
        <f t="shared" si="8"/>
        <v>1</v>
      </c>
      <c r="AW38" t="b">
        <v>0</v>
      </c>
      <c r="AX38">
        <v>7071</v>
      </c>
      <c r="AY38" s="16" t="s">
        <v>677</v>
      </c>
      <c r="AZ38" t="s">
        <v>584</v>
      </c>
      <c r="BA38" t="b">
        <f t="shared" si="9"/>
        <v>1</v>
      </c>
      <c r="BB38" t="b">
        <v>0</v>
      </c>
      <c r="BC38">
        <v>7071</v>
      </c>
      <c r="BD38" s="16" t="s">
        <v>677</v>
      </c>
      <c r="BE38" t="s">
        <v>584</v>
      </c>
      <c r="BF38" t="b">
        <f t="shared" si="10"/>
        <v>1</v>
      </c>
      <c r="BG38" t="b">
        <v>0</v>
      </c>
    </row>
    <row r="39" spans="1:59" x14ac:dyDescent="0.3">
      <c r="A39" s="31">
        <v>7073</v>
      </c>
      <c r="B39" s="32" t="s">
        <v>678</v>
      </c>
      <c r="C39" s="30" t="s">
        <v>585</v>
      </c>
      <c r="D39" s="31" t="b">
        <v>0</v>
      </c>
      <c r="E39" s="30">
        <v>7073</v>
      </c>
      <c r="F39" t="s">
        <v>678</v>
      </c>
      <c r="G39" t="s">
        <v>585</v>
      </c>
      <c r="H39" t="b">
        <f t="shared" si="0"/>
        <v>1</v>
      </c>
      <c r="I39" s="1" t="b">
        <v>0</v>
      </c>
      <c r="J39">
        <v>7073</v>
      </c>
      <c r="K39" t="s">
        <v>678</v>
      </c>
      <c r="L39" t="s">
        <v>585</v>
      </c>
      <c r="M39" t="b">
        <f t="shared" si="1"/>
        <v>1</v>
      </c>
      <c r="N39" s="1" t="b">
        <v>0</v>
      </c>
      <c r="O39">
        <v>7081</v>
      </c>
      <c r="P39" s="16" t="s">
        <v>748</v>
      </c>
      <c r="Q39" t="s">
        <v>1035</v>
      </c>
      <c r="R39" t="b">
        <f t="shared" si="2"/>
        <v>0</v>
      </c>
      <c r="S39" t="e">
        <v>#N/A</v>
      </c>
      <c r="T39" s="30">
        <v>7073</v>
      </c>
      <c r="U39" s="32" t="s">
        <v>678</v>
      </c>
      <c r="V39" s="30" t="s">
        <v>585</v>
      </c>
      <c r="W39" s="30" t="b">
        <f t="shared" si="3"/>
        <v>1</v>
      </c>
      <c r="X39" s="30">
        <v>36</v>
      </c>
      <c r="Y39">
        <v>7073</v>
      </c>
      <c r="Z39" s="16" t="s">
        <v>678</v>
      </c>
      <c r="AA39" t="s">
        <v>585</v>
      </c>
      <c r="AB39" t="b">
        <f t="shared" si="4"/>
        <v>1</v>
      </c>
      <c r="AC39" t="b">
        <v>0</v>
      </c>
      <c r="AD39">
        <v>7073</v>
      </c>
      <c r="AE39" s="16" t="s">
        <v>678</v>
      </c>
      <c r="AF39" t="s">
        <v>585</v>
      </c>
      <c r="AG39" t="b">
        <f t="shared" si="5"/>
        <v>1</v>
      </c>
      <c r="AH39" t="b">
        <v>0</v>
      </c>
      <c r="AI39">
        <v>7073</v>
      </c>
      <c r="AJ39" s="16" t="s">
        <v>678</v>
      </c>
      <c r="AK39" t="s">
        <v>585</v>
      </c>
      <c r="AL39" t="b">
        <f t="shared" si="6"/>
        <v>1</v>
      </c>
      <c r="AM39" t="b">
        <v>0</v>
      </c>
      <c r="AN39">
        <v>7073</v>
      </c>
      <c r="AO39" s="16" t="s">
        <v>678</v>
      </c>
      <c r="AP39" t="s">
        <v>585</v>
      </c>
      <c r="AQ39" t="b">
        <f t="shared" si="7"/>
        <v>1</v>
      </c>
      <c r="AR39" t="b">
        <v>0</v>
      </c>
      <c r="AS39">
        <v>7073</v>
      </c>
      <c r="AT39" t="s">
        <v>678</v>
      </c>
      <c r="AU39" t="s">
        <v>585</v>
      </c>
      <c r="AV39" t="b">
        <f t="shared" si="8"/>
        <v>1</v>
      </c>
      <c r="AW39" t="b">
        <v>0</v>
      </c>
      <c r="AX39">
        <v>7073</v>
      </c>
      <c r="AY39" s="16" t="s">
        <v>678</v>
      </c>
      <c r="AZ39" t="s">
        <v>585</v>
      </c>
      <c r="BA39" t="b">
        <f t="shared" si="9"/>
        <v>1</v>
      </c>
      <c r="BB39" t="b">
        <v>0</v>
      </c>
      <c r="BC39">
        <v>7073</v>
      </c>
      <c r="BD39" s="16" t="s">
        <v>678</v>
      </c>
      <c r="BE39" t="s">
        <v>585</v>
      </c>
      <c r="BF39" t="b">
        <f t="shared" si="10"/>
        <v>1</v>
      </c>
      <c r="BG39" t="b">
        <v>0</v>
      </c>
    </row>
    <row r="40" spans="1:59" x14ac:dyDescent="0.3">
      <c r="A40" s="31">
        <v>7075</v>
      </c>
      <c r="B40" s="32" t="s">
        <v>679</v>
      </c>
      <c r="C40" s="30" t="s">
        <v>586</v>
      </c>
      <c r="D40" s="31" t="b">
        <v>0</v>
      </c>
      <c r="E40" s="30">
        <v>7075</v>
      </c>
      <c r="F40" t="s">
        <v>679</v>
      </c>
      <c r="G40" t="s">
        <v>586</v>
      </c>
      <c r="H40" t="b">
        <f t="shared" si="0"/>
        <v>1</v>
      </c>
      <c r="I40" s="1" t="b">
        <v>0</v>
      </c>
      <c r="J40">
        <v>7075</v>
      </c>
      <c r="K40" t="s">
        <v>679</v>
      </c>
      <c r="L40" t="s">
        <v>586</v>
      </c>
      <c r="M40" t="b">
        <f t="shared" si="1"/>
        <v>1</v>
      </c>
      <c r="N40" s="1" t="b">
        <v>0</v>
      </c>
      <c r="O40">
        <v>7087</v>
      </c>
      <c r="P40" s="16" t="s">
        <v>749</v>
      </c>
      <c r="Q40" t="s">
        <v>1036</v>
      </c>
      <c r="R40" t="b">
        <f t="shared" si="2"/>
        <v>0</v>
      </c>
      <c r="S40" t="e">
        <v>#N/A</v>
      </c>
      <c r="T40" s="30">
        <v>7075</v>
      </c>
      <c r="U40" s="32" t="s">
        <v>679</v>
      </c>
      <c r="V40" s="30" t="s">
        <v>586</v>
      </c>
      <c r="W40" s="30" t="b">
        <f t="shared" si="3"/>
        <v>1</v>
      </c>
      <c r="X40" s="30">
        <v>37</v>
      </c>
      <c r="Y40">
        <v>7075</v>
      </c>
      <c r="Z40" s="16" t="s">
        <v>679</v>
      </c>
      <c r="AA40" t="s">
        <v>586</v>
      </c>
      <c r="AB40" t="b">
        <f t="shared" si="4"/>
        <v>1</v>
      </c>
      <c r="AC40" t="b">
        <v>0</v>
      </c>
      <c r="AD40">
        <v>7075</v>
      </c>
      <c r="AE40" s="16" t="s">
        <v>679</v>
      </c>
      <c r="AF40" t="s">
        <v>586</v>
      </c>
      <c r="AG40" t="b">
        <f t="shared" si="5"/>
        <v>1</v>
      </c>
      <c r="AH40" t="b">
        <v>0</v>
      </c>
      <c r="AI40">
        <v>7075</v>
      </c>
      <c r="AJ40" s="16" t="s">
        <v>679</v>
      </c>
      <c r="AK40" t="s">
        <v>586</v>
      </c>
      <c r="AL40" t="b">
        <f t="shared" si="6"/>
        <v>1</v>
      </c>
      <c r="AM40" t="b">
        <v>0</v>
      </c>
      <c r="AN40">
        <v>7075</v>
      </c>
      <c r="AO40" s="16" t="s">
        <v>679</v>
      </c>
      <c r="AP40" t="s">
        <v>586</v>
      </c>
      <c r="AQ40" t="b">
        <f t="shared" si="7"/>
        <v>1</v>
      </c>
      <c r="AR40" t="b">
        <v>0</v>
      </c>
      <c r="AS40">
        <v>7075</v>
      </c>
      <c r="AT40" t="s">
        <v>679</v>
      </c>
      <c r="AU40" t="s">
        <v>586</v>
      </c>
      <c r="AV40" t="b">
        <f t="shared" si="8"/>
        <v>1</v>
      </c>
      <c r="AW40" t="b">
        <v>0</v>
      </c>
      <c r="AX40">
        <v>7075</v>
      </c>
      <c r="AY40" s="16" t="s">
        <v>679</v>
      </c>
      <c r="AZ40" t="s">
        <v>586</v>
      </c>
      <c r="BA40" t="b">
        <f t="shared" si="9"/>
        <v>1</v>
      </c>
      <c r="BB40" t="b">
        <v>0</v>
      </c>
      <c r="BC40">
        <v>7075</v>
      </c>
      <c r="BD40" s="16" t="s">
        <v>679</v>
      </c>
      <c r="BE40" t="s">
        <v>586</v>
      </c>
      <c r="BF40" t="b">
        <f t="shared" si="10"/>
        <v>1</v>
      </c>
      <c r="BG40" t="b">
        <v>0</v>
      </c>
    </row>
    <row r="41" spans="1:59" x14ac:dyDescent="0.3">
      <c r="A41" s="31">
        <v>7077</v>
      </c>
      <c r="B41" s="32" t="s">
        <v>680</v>
      </c>
      <c r="C41" s="30" t="s">
        <v>587</v>
      </c>
      <c r="D41" s="31" t="b">
        <v>0</v>
      </c>
      <c r="E41" s="30">
        <v>7077</v>
      </c>
      <c r="F41" t="s">
        <v>680</v>
      </c>
      <c r="G41" t="s">
        <v>587</v>
      </c>
      <c r="H41" t="b">
        <f t="shared" si="0"/>
        <v>1</v>
      </c>
      <c r="I41" s="1" t="b">
        <v>0</v>
      </c>
      <c r="J41">
        <v>7077</v>
      </c>
      <c r="K41" t="s">
        <v>680</v>
      </c>
      <c r="L41" t="s">
        <v>587</v>
      </c>
      <c r="M41" t="b">
        <f t="shared" si="1"/>
        <v>1</v>
      </c>
      <c r="N41" s="1" t="b">
        <v>0</v>
      </c>
      <c r="O41">
        <v>7093</v>
      </c>
      <c r="P41" s="16" t="s">
        <v>750</v>
      </c>
      <c r="Q41" t="s">
        <v>1037</v>
      </c>
      <c r="R41" t="b">
        <f t="shared" si="2"/>
        <v>0</v>
      </c>
      <c r="S41" t="e">
        <v>#N/A</v>
      </c>
      <c r="T41" s="30">
        <v>7077</v>
      </c>
      <c r="U41" s="32" t="s">
        <v>680</v>
      </c>
      <c r="V41" s="30" t="s">
        <v>587</v>
      </c>
      <c r="W41" s="30" t="b">
        <f t="shared" si="3"/>
        <v>1</v>
      </c>
      <c r="X41" s="30">
        <v>38</v>
      </c>
      <c r="Y41">
        <v>7077</v>
      </c>
      <c r="Z41" s="16" t="s">
        <v>680</v>
      </c>
      <c r="AA41" t="s">
        <v>587</v>
      </c>
      <c r="AB41" t="b">
        <f t="shared" si="4"/>
        <v>1</v>
      </c>
      <c r="AC41" t="b">
        <v>0</v>
      </c>
      <c r="AD41">
        <v>7077</v>
      </c>
      <c r="AE41" s="16" t="s">
        <v>680</v>
      </c>
      <c r="AF41" t="s">
        <v>587</v>
      </c>
      <c r="AG41" t="b">
        <f t="shared" si="5"/>
        <v>1</v>
      </c>
      <c r="AH41" t="b">
        <v>0</v>
      </c>
      <c r="AI41">
        <v>7077</v>
      </c>
      <c r="AJ41" s="16" t="s">
        <v>680</v>
      </c>
      <c r="AK41" t="s">
        <v>587</v>
      </c>
      <c r="AL41" t="b">
        <f t="shared" si="6"/>
        <v>1</v>
      </c>
      <c r="AM41" t="b">
        <v>0</v>
      </c>
      <c r="AN41">
        <v>7077</v>
      </c>
      <c r="AO41" s="16" t="s">
        <v>680</v>
      </c>
      <c r="AP41" t="s">
        <v>587</v>
      </c>
      <c r="AQ41" t="b">
        <f t="shared" si="7"/>
        <v>1</v>
      </c>
      <c r="AR41" t="b">
        <v>0</v>
      </c>
      <c r="AS41">
        <v>7077</v>
      </c>
      <c r="AT41" t="s">
        <v>680</v>
      </c>
      <c r="AU41" t="s">
        <v>587</v>
      </c>
      <c r="AV41" t="b">
        <f t="shared" si="8"/>
        <v>1</v>
      </c>
      <c r="AW41" t="b">
        <v>0</v>
      </c>
      <c r="AX41">
        <v>7077</v>
      </c>
      <c r="AY41" s="16" t="s">
        <v>680</v>
      </c>
      <c r="AZ41" t="s">
        <v>587</v>
      </c>
      <c r="BA41" t="b">
        <f t="shared" si="9"/>
        <v>1</v>
      </c>
      <c r="BB41" t="b">
        <v>0</v>
      </c>
      <c r="BC41">
        <v>7077</v>
      </c>
      <c r="BD41" s="16" t="s">
        <v>680</v>
      </c>
      <c r="BE41" t="s">
        <v>587</v>
      </c>
      <c r="BF41" t="b">
        <f t="shared" si="10"/>
        <v>1</v>
      </c>
      <c r="BG41" t="b">
        <v>0</v>
      </c>
    </row>
    <row r="42" spans="1:59" x14ac:dyDescent="0.3">
      <c r="A42" s="31">
        <v>7079</v>
      </c>
      <c r="B42" s="32" t="s">
        <v>681</v>
      </c>
      <c r="C42" s="30" t="s">
        <v>588</v>
      </c>
      <c r="D42" s="31" t="b">
        <v>0</v>
      </c>
      <c r="E42" s="30">
        <v>7079</v>
      </c>
      <c r="F42" t="s">
        <v>681</v>
      </c>
      <c r="G42" t="s">
        <v>588</v>
      </c>
      <c r="H42" t="b">
        <f t="shared" si="0"/>
        <v>1</v>
      </c>
      <c r="I42" s="1" t="b">
        <v>0</v>
      </c>
      <c r="J42">
        <v>7079</v>
      </c>
      <c r="K42" t="s">
        <v>681</v>
      </c>
      <c r="L42" t="s">
        <v>588</v>
      </c>
      <c r="M42" t="b">
        <f t="shared" si="1"/>
        <v>1</v>
      </c>
      <c r="N42" s="1" t="b">
        <v>0</v>
      </c>
      <c r="O42">
        <v>7101</v>
      </c>
      <c r="P42" s="16" t="s">
        <v>751</v>
      </c>
      <c r="Q42" t="s">
        <v>1038</v>
      </c>
      <c r="R42" t="b">
        <f t="shared" si="2"/>
        <v>0</v>
      </c>
      <c r="S42" t="e">
        <v>#N/A</v>
      </c>
      <c r="T42" s="30">
        <v>7079</v>
      </c>
      <c r="U42" s="32" t="s">
        <v>681</v>
      </c>
      <c r="V42" s="30" t="s">
        <v>588</v>
      </c>
      <c r="W42" s="30" t="b">
        <f t="shared" si="3"/>
        <v>1</v>
      </c>
      <c r="X42" s="30">
        <v>39</v>
      </c>
      <c r="Y42">
        <v>7079</v>
      </c>
      <c r="Z42" s="16" t="s">
        <v>681</v>
      </c>
      <c r="AA42" t="s">
        <v>588</v>
      </c>
      <c r="AB42" t="b">
        <f t="shared" si="4"/>
        <v>1</v>
      </c>
      <c r="AC42" t="b">
        <v>0</v>
      </c>
      <c r="AD42">
        <v>7079</v>
      </c>
      <c r="AE42" s="16" t="s">
        <v>681</v>
      </c>
      <c r="AF42" t="s">
        <v>588</v>
      </c>
      <c r="AG42" t="b">
        <f t="shared" si="5"/>
        <v>1</v>
      </c>
      <c r="AH42" t="b">
        <v>0</v>
      </c>
      <c r="AI42">
        <v>7079</v>
      </c>
      <c r="AJ42" s="16" t="s">
        <v>681</v>
      </c>
      <c r="AK42" t="s">
        <v>588</v>
      </c>
      <c r="AL42" t="b">
        <f t="shared" si="6"/>
        <v>1</v>
      </c>
      <c r="AM42" t="b">
        <v>0</v>
      </c>
      <c r="AN42">
        <v>7079</v>
      </c>
      <c r="AO42" s="16" t="s">
        <v>681</v>
      </c>
      <c r="AP42" t="s">
        <v>588</v>
      </c>
      <c r="AQ42" t="b">
        <f t="shared" si="7"/>
        <v>1</v>
      </c>
      <c r="AR42" t="b">
        <v>0</v>
      </c>
      <c r="AS42">
        <v>7079</v>
      </c>
      <c r="AT42" t="s">
        <v>681</v>
      </c>
      <c r="AU42" t="s">
        <v>588</v>
      </c>
      <c r="AV42" t="b">
        <f t="shared" si="8"/>
        <v>1</v>
      </c>
      <c r="AW42" t="b">
        <v>0</v>
      </c>
      <c r="AX42">
        <v>7079</v>
      </c>
      <c r="AY42" s="16" t="s">
        <v>681</v>
      </c>
      <c r="AZ42" t="s">
        <v>588</v>
      </c>
      <c r="BA42" t="b">
        <f t="shared" si="9"/>
        <v>1</v>
      </c>
      <c r="BB42" t="b">
        <v>0</v>
      </c>
      <c r="BC42">
        <v>7079</v>
      </c>
      <c r="BD42" s="16" t="s">
        <v>681</v>
      </c>
      <c r="BE42" t="s">
        <v>588</v>
      </c>
      <c r="BF42" t="b">
        <f t="shared" si="10"/>
        <v>1</v>
      </c>
      <c r="BG42" t="b">
        <v>0</v>
      </c>
    </row>
    <row r="43" spans="1:59" x14ac:dyDescent="0.3">
      <c r="A43" s="31">
        <v>7081</v>
      </c>
      <c r="B43" s="32" t="s">
        <v>682</v>
      </c>
      <c r="C43" s="30" t="s">
        <v>589</v>
      </c>
      <c r="D43" s="31" t="b">
        <v>0</v>
      </c>
      <c r="E43" s="30">
        <v>7081</v>
      </c>
      <c r="F43" t="s">
        <v>682</v>
      </c>
      <c r="G43" t="s">
        <v>589</v>
      </c>
      <c r="H43" t="b">
        <f t="shared" si="0"/>
        <v>1</v>
      </c>
      <c r="I43" s="1" t="b">
        <v>0</v>
      </c>
      <c r="J43">
        <v>7081</v>
      </c>
      <c r="K43" t="s">
        <v>682</v>
      </c>
      <c r="L43" t="s">
        <v>589</v>
      </c>
      <c r="M43" t="b">
        <f t="shared" si="1"/>
        <v>1</v>
      </c>
      <c r="N43" s="1" t="b">
        <v>0</v>
      </c>
      <c r="O43" s="30">
        <v>7115</v>
      </c>
      <c r="P43" s="32" t="s">
        <v>727</v>
      </c>
      <c r="Q43" s="30" t="s">
        <v>554</v>
      </c>
      <c r="R43" s="30" t="b">
        <f t="shared" si="2"/>
        <v>0</v>
      </c>
      <c r="S43" s="30">
        <v>11</v>
      </c>
      <c r="T43" s="30">
        <v>7081</v>
      </c>
      <c r="U43" s="32" t="s">
        <v>682</v>
      </c>
      <c r="V43" s="30" t="s">
        <v>589</v>
      </c>
      <c r="W43" s="30" t="b">
        <f t="shared" si="3"/>
        <v>1</v>
      </c>
      <c r="X43" s="30">
        <v>40</v>
      </c>
      <c r="Y43">
        <v>7081</v>
      </c>
      <c r="Z43" s="16" t="s">
        <v>682</v>
      </c>
      <c r="AA43" t="s">
        <v>589</v>
      </c>
      <c r="AB43" t="b">
        <f t="shared" si="4"/>
        <v>1</v>
      </c>
      <c r="AC43" t="b">
        <v>0</v>
      </c>
      <c r="AD43">
        <v>7081</v>
      </c>
      <c r="AE43" s="16" t="s">
        <v>682</v>
      </c>
      <c r="AF43" t="s">
        <v>589</v>
      </c>
      <c r="AG43" t="b">
        <f t="shared" si="5"/>
        <v>1</v>
      </c>
      <c r="AH43" t="b">
        <v>0</v>
      </c>
      <c r="AI43">
        <v>7081</v>
      </c>
      <c r="AJ43" s="16" t="s">
        <v>682</v>
      </c>
      <c r="AK43" t="s">
        <v>589</v>
      </c>
      <c r="AL43" t="b">
        <f t="shared" si="6"/>
        <v>1</v>
      </c>
      <c r="AM43" t="b">
        <v>0</v>
      </c>
      <c r="AN43">
        <v>7081</v>
      </c>
      <c r="AO43" s="16" t="s">
        <v>682</v>
      </c>
      <c r="AP43" t="s">
        <v>589</v>
      </c>
      <c r="AQ43" t="b">
        <f t="shared" si="7"/>
        <v>1</v>
      </c>
      <c r="AR43" t="b">
        <v>0</v>
      </c>
      <c r="AS43">
        <v>7081</v>
      </c>
      <c r="AT43" t="s">
        <v>682</v>
      </c>
      <c r="AU43" t="s">
        <v>589</v>
      </c>
      <c r="AV43" t="b">
        <f t="shared" si="8"/>
        <v>1</v>
      </c>
      <c r="AW43" t="b">
        <v>0</v>
      </c>
      <c r="AX43">
        <v>7081</v>
      </c>
      <c r="AY43" s="16" t="s">
        <v>682</v>
      </c>
      <c r="AZ43" t="s">
        <v>589</v>
      </c>
      <c r="BA43" t="b">
        <f t="shared" si="9"/>
        <v>1</v>
      </c>
      <c r="BB43" t="b">
        <v>0</v>
      </c>
      <c r="BC43">
        <v>7081</v>
      </c>
      <c r="BD43" s="16" t="s">
        <v>682</v>
      </c>
      <c r="BE43" t="s">
        <v>589</v>
      </c>
      <c r="BF43" t="b">
        <f t="shared" si="10"/>
        <v>1</v>
      </c>
      <c r="BG43" t="b">
        <v>0</v>
      </c>
    </row>
    <row r="44" spans="1:59" x14ac:dyDescent="0.3">
      <c r="A44" s="1">
        <v>7083</v>
      </c>
      <c r="B44" s="16" t="s">
        <v>683</v>
      </c>
      <c r="C44" t="s">
        <v>590</v>
      </c>
      <c r="D44" s="1" t="b">
        <v>0</v>
      </c>
      <c r="E44">
        <v>7083</v>
      </c>
      <c r="F44" t="s">
        <v>683</v>
      </c>
      <c r="G44" t="s">
        <v>590</v>
      </c>
      <c r="H44" t="b">
        <f t="shared" si="0"/>
        <v>1</v>
      </c>
      <c r="I44" s="1" t="b">
        <v>0</v>
      </c>
      <c r="J44">
        <v>7083</v>
      </c>
      <c r="K44" t="s">
        <v>683</v>
      </c>
      <c r="L44" t="s">
        <v>590</v>
      </c>
      <c r="M44" t="b">
        <f t="shared" si="1"/>
        <v>1</v>
      </c>
      <c r="N44" s="1" t="b">
        <v>0</v>
      </c>
      <c r="O44" s="30">
        <v>7117</v>
      </c>
      <c r="P44" s="32" t="s">
        <v>705</v>
      </c>
      <c r="Q44" s="30" t="s">
        <v>554</v>
      </c>
      <c r="R44" s="30" t="b">
        <f t="shared" si="2"/>
        <v>0</v>
      </c>
      <c r="S44" s="30">
        <v>12</v>
      </c>
      <c r="T44">
        <v>7083</v>
      </c>
      <c r="U44" s="16" t="s">
        <v>683</v>
      </c>
      <c r="V44" t="s">
        <v>590</v>
      </c>
      <c r="W44" t="b">
        <f t="shared" si="3"/>
        <v>1</v>
      </c>
      <c r="X44" t="b">
        <v>0</v>
      </c>
      <c r="Y44">
        <v>7083</v>
      </c>
      <c r="Z44" s="16" t="s">
        <v>683</v>
      </c>
      <c r="AA44" t="s">
        <v>590</v>
      </c>
      <c r="AB44" t="b">
        <f t="shared" si="4"/>
        <v>1</v>
      </c>
      <c r="AC44" t="b">
        <v>0</v>
      </c>
      <c r="AD44">
        <v>7083</v>
      </c>
      <c r="AE44" s="16" t="s">
        <v>683</v>
      </c>
      <c r="AF44" t="s">
        <v>590</v>
      </c>
      <c r="AG44" t="b">
        <f t="shared" si="5"/>
        <v>1</v>
      </c>
      <c r="AH44" t="b">
        <v>0</v>
      </c>
      <c r="AI44">
        <v>7083</v>
      </c>
      <c r="AJ44" s="16" t="s">
        <v>683</v>
      </c>
      <c r="AK44" t="s">
        <v>590</v>
      </c>
      <c r="AL44" t="b">
        <f t="shared" si="6"/>
        <v>1</v>
      </c>
      <c r="AM44" t="b">
        <v>0</v>
      </c>
      <c r="AN44">
        <v>7083</v>
      </c>
      <c r="AO44" s="16" t="s">
        <v>683</v>
      </c>
      <c r="AP44" t="s">
        <v>590</v>
      </c>
      <c r="AQ44" t="b">
        <f t="shared" si="7"/>
        <v>1</v>
      </c>
      <c r="AR44" t="b">
        <v>0</v>
      </c>
      <c r="AS44">
        <v>7083</v>
      </c>
      <c r="AT44" t="s">
        <v>683</v>
      </c>
      <c r="AU44" t="s">
        <v>590</v>
      </c>
      <c r="AV44" t="b">
        <f t="shared" si="8"/>
        <v>1</v>
      </c>
      <c r="AW44" t="b">
        <v>0</v>
      </c>
      <c r="AX44">
        <v>7083</v>
      </c>
      <c r="AY44" s="16" t="s">
        <v>683</v>
      </c>
      <c r="AZ44" t="s">
        <v>590</v>
      </c>
      <c r="BA44" t="b">
        <f t="shared" si="9"/>
        <v>1</v>
      </c>
      <c r="BB44" t="b">
        <v>0</v>
      </c>
      <c r="BC44">
        <v>7083</v>
      </c>
      <c r="BD44" s="16" t="s">
        <v>683</v>
      </c>
      <c r="BE44" t="s">
        <v>590</v>
      </c>
      <c r="BF44" t="b">
        <f t="shared" si="10"/>
        <v>1</v>
      </c>
      <c r="BG44" t="b">
        <v>0</v>
      </c>
    </row>
    <row r="45" spans="1:59" x14ac:dyDescent="0.3">
      <c r="A45" s="1">
        <v>7085</v>
      </c>
      <c r="B45" s="16" t="s">
        <v>684</v>
      </c>
      <c r="C45" t="s">
        <v>591</v>
      </c>
      <c r="D45" s="1" t="b">
        <v>0</v>
      </c>
      <c r="E45">
        <v>7085</v>
      </c>
      <c r="F45" t="s">
        <v>684</v>
      </c>
      <c r="G45" t="s">
        <v>591</v>
      </c>
      <c r="H45" t="b">
        <f t="shared" si="0"/>
        <v>1</v>
      </c>
      <c r="I45" s="1" t="b">
        <v>0</v>
      </c>
      <c r="J45">
        <v>7085</v>
      </c>
      <c r="K45" t="s">
        <v>684</v>
      </c>
      <c r="L45" t="s">
        <v>591</v>
      </c>
      <c r="M45" t="b">
        <f t="shared" si="1"/>
        <v>1</v>
      </c>
      <c r="N45" s="1" t="b">
        <v>0</v>
      </c>
      <c r="O45" s="30">
        <v>7119</v>
      </c>
      <c r="P45" s="32" t="s">
        <v>646</v>
      </c>
      <c r="Q45" s="30" t="s">
        <v>474</v>
      </c>
      <c r="R45" s="30" t="b">
        <f t="shared" si="2"/>
        <v>0</v>
      </c>
      <c r="S45" s="30">
        <v>13</v>
      </c>
      <c r="T45">
        <v>7085</v>
      </c>
      <c r="U45" s="16" t="s">
        <v>684</v>
      </c>
      <c r="V45" t="s">
        <v>591</v>
      </c>
      <c r="W45" t="b">
        <f t="shared" si="3"/>
        <v>1</v>
      </c>
      <c r="X45" t="b">
        <v>0</v>
      </c>
      <c r="Y45">
        <v>7085</v>
      </c>
      <c r="Z45" s="16" t="s">
        <v>684</v>
      </c>
      <c r="AA45" t="s">
        <v>591</v>
      </c>
      <c r="AB45" t="b">
        <f t="shared" si="4"/>
        <v>1</v>
      </c>
      <c r="AC45" t="b">
        <v>0</v>
      </c>
      <c r="AD45">
        <v>7085</v>
      </c>
      <c r="AE45" s="16" t="s">
        <v>684</v>
      </c>
      <c r="AF45" t="s">
        <v>591</v>
      </c>
      <c r="AG45" t="b">
        <f t="shared" si="5"/>
        <v>1</v>
      </c>
      <c r="AH45" t="b">
        <v>0</v>
      </c>
      <c r="AI45">
        <v>7085</v>
      </c>
      <c r="AJ45" s="16" t="s">
        <v>684</v>
      </c>
      <c r="AK45" t="s">
        <v>591</v>
      </c>
      <c r="AL45" t="b">
        <f t="shared" si="6"/>
        <v>1</v>
      </c>
      <c r="AM45" t="b">
        <v>0</v>
      </c>
      <c r="AN45">
        <v>7085</v>
      </c>
      <c r="AO45" s="16" t="s">
        <v>684</v>
      </c>
      <c r="AP45" t="s">
        <v>591</v>
      </c>
      <c r="AQ45" t="b">
        <f t="shared" si="7"/>
        <v>1</v>
      </c>
      <c r="AR45" t="b">
        <v>0</v>
      </c>
      <c r="AS45">
        <v>7085</v>
      </c>
      <c r="AT45" t="s">
        <v>684</v>
      </c>
      <c r="AU45" t="s">
        <v>591</v>
      </c>
      <c r="AV45" t="b">
        <f t="shared" si="8"/>
        <v>1</v>
      </c>
      <c r="AW45" t="b">
        <v>0</v>
      </c>
      <c r="AX45">
        <v>7085</v>
      </c>
      <c r="AY45" s="16" t="s">
        <v>684</v>
      </c>
      <c r="AZ45" t="s">
        <v>591</v>
      </c>
      <c r="BA45" t="b">
        <f t="shared" si="9"/>
        <v>1</v>
      </c>
      <c r="BB45" t="b">
        <v>0</v>
      </c>
      <c r="BC45">
        <v>7085</v>
      </c>
      <c r="BD45" s="16" t="s">
        <v>684</v>
      </c>
      <c r="BE45" t="s">
        <v>591</v>
      </c>
      <c r="BF45" t="b">
        <f t="shared" si="10"/>
        <v>1</v>
      </c>
      <c r="BG45" t="b">
        <v>0</v>
      </c>
    </row>
    <row r="46" spans="1:59" x14ac:dyDescent="0.3">
      <c r="A46" s="1">
        <v>7087</v>
      </c>
      <c r="B46" s="16" t="s">
        <v>685</v>
      </c>
      <c r="C46" t="s">
        <v>592</v>
      </c>
      <c r="D46" s="1" t="b">
        <v>0</v>
      </c>
      <c r="E46">
        <v>7087</v>
      </c>
      <c r="F46" t="s">
        <v>685</v>
      </c>
      <c r="G46" t="s">
        <v>592</v>
      </c>
      <c r="H46" t="b">
        <f t="shared" si="0"/>
        <v>1</v>
      </c>
      <c r="I46" s="1" t="b">
        <v>0</v>
      </c>
      <c r="J46">
        <v>7087</v>
      </c>
      <c r="K46" t="s">
        <v>685</v>
      </c>
      <c r="L46" t="s">
        <v>592</v>
      </c>
      <c r="M46" t="b">
        <f t="shared" si="1"/>
        <v>1</v>
      </c>
      <c r="N46" s="1" t="b">
        <v>0</v>
      </c>
      <c r="O46" s="30">
        <v>7121</v>
      </c>
      <c r="P46" s="32" t="s">
        <v>647</v>
      </c>
      <c r="Q46" s="30" t="s">
        <v>532</v>
      </c>
      <c r="R46" s="30" t="b">
        <f t="shared" si="2"/>
        <v>0</v>
      </c>
      <c r="S46" s="30">
        <v>14</v>
      </c>
      <c r="T46">
        <v>7087</v>
      </c>
      <c r="U46" s="16" t="s">
        <v>685</v>
      </c>
      <c r="V46" t="s">
        <v>592</v>
      </c>
      <c r="W46" t="b">
        <f t="shared" si="3"/>
        <v>1</v>
      </c>
      <c r="X46" t="b">
        <v>0</v>
      </c>
      <c r="Y46">
        <v>7087</v>
      </c>
      <c r="Z46" s="16" t="s">
        <v>685</v>
      </c>
      <c r="AA46" t="s">
        <v>592</v>
      </c>
      <c r="AB46" t="b">
        <f t="shared" si="4"/>
        <v>1</v>
      </c>
      <c r="AC46" t="b">
        <v>0</v>
      </c>
      <c r="AD46">
        <v>7087</v>
      </c>
      <c r="AE46" s="16" t="s">
        <v>685</v>
      </c>
      <c r="AF46" t="s">
        <v>592</v>
      </c>
      <c r="AG46" t="b">
        <f t="shared" si="5"/>
        <v>1</v>
      </c>
      <c r="AH46" t="b">
        <v>0</v>
      </c>
      <c r="AI46">
        <v>7087</v>
      </c>
      <c r="AJ46" s="16" t="s">
        <v>685</v>
      </c>
      <c r="AK46" t="s">
        <v>592</v>
      </c>
      <c r="AL46" t="b">
        <f t="shared" si="6"/>
        <v>1</v>
      </c>
      <c r="AM46" t="b">
        <v>0</v>
      </c>
      <c r="AN46">
        <v>7087</v>
      </c>
      <c r="AO46" s="16" t="s">
        <v>685</v>
      </c>
      <c r="AP46" t="s">
        <v>592</v>
      </c>
      <c r="AQ46" t="b">
        <f t="shared" si="7"/>
        <v>1</v>
      </c>
      <c r="AR46" t="b">
        <v>0</v>
      </c>
      <c r="AS46">
        <v>7087</v>
      </c>
      <c r="AT46" t="s">
        <v>685</v>
      </c>
      <c r="AU46" t="s">
        <v>592</v>
      </c>
      <c r="AV46" t="b">
        <f t="shared" si="8"/>
        <v>1</v>
      </c>
      <c r="AW46" t="b">
        <v>0</v>
      </c>
      <c r="AX46">
        <v>7087</v>
      </c>
      <c r="AY46" s="16" t="s">
        <v>685</v>
      </c>
      <c r="AZ46" t="s">
        <v>592</v>
      </c>
      <c r="BA46" t="b">
        <f t="shared" si="9"/>
        <v>1</v>
      </c>
      <c r="BB46" t="b">
        <v>0</v>
      </c>
      <c r="BC46">
        <v>7087</v>
      </c>
      <c r="BD46" s="16" t="s">
        <v>685</v>
      </c>
      <c r="BE46" t="s">
        <v>592</v>
      </c>
      <c r="BF46" t="b">
        <f t="shared" si="10"/>
        <v>1</v>
      </c>
      <c r="BG46" t="b">
        <v>0</v>
      </c>
    </row>
    <row r="47" spans="1:59" x14ac:dyDescent="0.3">
      <c r="A47" s="1">
        <v>7089</v>
      </c>
      <c r="B47" s="16" t="s">
        <v>686</v>
      </c>
      <c r="C47" t="s">
        <v>593</v>
      </c>
      <c r="D47" s="1" t="b">
        <v>0</v>
      </c>
      <c r="E47">
        <v>7089</v>
      </c>
      <c r="F47" t="s">
        <v>686</v>
      </c>
      <c r="G47" t="s">
        <v>593</v>
      </c>
      <c r="H47" t="b">
        <f t="shared" si="0"/>
        <v>1</v>
      </c>
      <c r="I47" s="1" t="b">
        <v>0</v>
      </c>
      <c r="J47">
        <v>7089</v>
      </c>
      <c r="K47" t="s">
        <v>686</v>
      </c>
      <c r="L47" t="s">
        <v>593</v>
      </c>
      <c r="M47" t="b">
        <f t="shared" si="1"/>
        <v>1</v>
      </c>
      <c r="N47" s="1" t="b">
        <v>0</v>
      </c>
      <c r="O47">
        <v>7123</v>
      </c>
      <c r="P47" s="16" t="s">
        <v>668</v>
      </c>
      <c r="Q47" t="s">
        <v>574</v>
      </c>
      <c r="R47" t="b">
        <f t="shared" si="2"/>
        <v>0</v>
      </c>
      <c r="S47" t="e">
        <v>#N/A</v>
      </c>
      <c r="T47">
        <v>7089</v>
      </c>
      <c r="U47" s="16" t="s">
        <v>686</v>
      </c>
      <c r="V47" t="s">
        <v>593</v>
      </c>
      <c r="W47" t="b">
        <f t="shared" si="3"/>
        <v>1</v>
      </c>
      <c r="X47" t="b">
        <v>0</v>
      </c>
      <c r="Y47">
        <v>7089</v>
      </c>
      <c r="Z47" s="16" t="s">
        <v>686</v>
      </c>
      <c r="AA47" t="s">
        <v>593</v>
      </c>
      <c r="AB47" t="b">
        <f t="shared" si="4"/>
        <v>1</v>
      </c>
      <c r="AC47" t="b">
        <v>0</v>
      </c>
      <c r="AD47">
        <v>7089</v>
      </c>
      <c r="AE47" s="16" t="s">
        <v>686</v>
      </c>
      <c r="AF47" t="s">
        <v>593</v>
      </c>
      <c r="AG47" t="b">
        <f t="shared" si="5"/>
        <v>1</v>
      </c>
      <c r="AH47" t="b">
        <v>0</v>
      </c>
      <c r="AI47">
        <v>7089</v>
      </c>
      <c r="AJ47" s="16" t="s">
        <v>686</v>
      </c>
      <c r="AK47" t="s">
        <v>593</v>
      </c>
      <c r="AL47" t="b">
        <f t="shared" si="6"/>
        <v>1</v>
      </c>
      <c r="AM47" t="b">
        <v>0</v>
      </c>
      <c r="AN47">
        <v>7089</v>
      </c>
      <c r="AO47" s="16" t="s">
        <v>686</v>
      </c>
      <c r="AP47" t="s">
        <v>593</v>
      </c>
      <c r="AQ47" t="b">
        <f t="shared" si="7"/>
        <v>1</v>
      </c>
      <c r="AR47" t="b">
        <v>0</v>
      </c>
      <c r="AS47">
        <v>7089</v>
      </c>
      <c r="AT47" t="s">
        <v>686</v>
      </c>
      <c r="AU47" t="s">
        <v>593</v>
      </c>
      <c r="AV47" t="b">
        <f t="shared" si="8"/>
        <v>1</v>
      </c>
      <c r="AW47" t="b">
        <v>0</v>
      </c>
      <c r="AX47">
        <v>7089</v>
      </c>
      <c r="AY47" s="16" t="s">
        <v>686</v>
      </c>
      <c r="AZ47" t="s">
        <v>593</v>
      </c>
      <c r="BA47" t="b">
        <f t="shared" si="9"/>
        <v>1</v>
      </c>
      <c r="BB47" t="b">
        <v>0</v>
      </c>
      <c r="BC47">
        <v>7089</v>
      </c>
      <c r="BD47" s="16" t="s">
        <v>686</v>
      </c>
      <c r="BE47" t="s">
        <v>593</v>
      </c>
      <c r="BF47" t="b">
        <f t="shared" si="10"/>
        <v>1</v>
      </c>
      <c r="BG47" t="b">
        <v>0</v>
      </c>
    </row>
    <row r="48" spans="1:59" x14ac:dyDescent="0.3">
      <c r="A48" s="1">
        <v>7091</v>
      </c>
      <c r="B48" s="16" t="s">
        <v>687</v>
      </c>
      <c r="C48" t="s">
        <v>594</v>
      </c>
      <c r="D48" s="1" t="b">
        <v>0</v>
      </c>
      <c r="E48">
        <v>7091</v>
      </c>
      <c r="F48" t="s">
        <v>687</v>
      </c>
      <c r="G48" t="s">
        <v>594</v>
      </c>
      <c r="H48" t="b">
        <f t="shared" si="0"/>
        <v>1</v>
      </c>
      <c r="I48" s="1" t="b">
        <v>0</v>
      </c>
      <c r="J48">
        <v>7091</v>
      </c>
      <c r="K48" t="s">
        <v>687</v>
      </c>
      <c r="L48" t="s">
        <v>594</v>
      </c>
      <c r="M48" t="b">
        <f t="shared" si="1"/>
        <v>1</v>
      </c>
      <c r="N48" s="1" t="b">
        <v>0</v>
      </c>
      <c r="O48">
        <v>7125</v>
      </c>
      <c r="P48" s="16" t="s">
        <v>669</v>
      </c>
      <c r="Q48" t="s">
        <v>1039</v>
      </c>
      <c r="R48" t="b">
        <f t="shared" si="2"/>
        <v>0</v>
      </c>
      <c r="S48" t="e">
        <v>#N/A</v>
      </c>
      <c r="T48">
        <v>7091</v>
      </c>
      <c r="U48" s="16" t="s">
        <v>687</v>
      </c>
      <c r="V48" t="s">
        <v>594</v>
      </c>
      <c r="W48" t="b">
        <f t="shared" si="3"/>
        <v>1</v>
      </c>
      <c r="X48" t="b">
        <v>0</v>
      </c>
      <c r="Y48">
        <v>7091</v>
      </c>
      <c r="Z48" s="16" t="s">
        <v>687</v>
      </c>
      <c r="AA48" t="s">
        <v>594</v>
      </c>
      <c r="AB48" t="b">
        <f t="shared" si="4"/>
        <v>1</v>
      </c>
      <c r="AC48" t="b">
        <v>0</v>
      </c>
      <c r="AD48">
        <v>7091</v>
      </c>
      <c r="AE48" s="16" t="s">
        <v>687</v>
      </c>
      <c r="AF48" t="s">
        <v>594</v>
      </c>
      <c r="AG48" t="b">
        <f t="shared" si="5"/>
        <v>1</v>
      </c>
      <c r="AH48" t="b">
        <v>0</v>
      </c>
      <c r="AI48">
        <v>7091</v>
      </c>
      <c r="AJ48" s="16" t="s">
        <v>687</v>
      </c>
      <c r="AK48" t="s">
        <v>594</v>
      </c>
      <c r="AL48" t="b">
        <f t="shared" si="6"/>
        <v>1</v>
      </c>
      <c r="AM48" t="b">
        <v>0</v>
      </c>
      <c r="AN48">
        <v>7091</v>
      </c>
      <c r="AO48" s="16" t="s">
        <v>687</v>
      </c>
      <c r="AP48" t="s">
        <v>594</v>
      </c>
      <c r="AQ48" t="b">
        <f t="shared" si="7"/>
        <v>1</v>
      </c>
      <c r="AR48" t="b">
        <v>0</v>
      </c>
      <c r="AS48">
        <v>7091</v>
      </c>
      <c r="AT48" t="s">
        <v>687</v>
      </c>
      <c r="AU48" t="s">
        <v>594</v>
      </c>
      <c r="AV48" t="b">
        <f t="shared" si="8"/>
        <v>1</v>
      </c>
      <c r="AW48" t="b">
        <v>0</v>
      </c>
      <c r="AX48">
        <v>7091</v>
      </c>
      <c r="AY48" s="16" t="s">
        <v>687</v>
      </c>
      <c r="AZ48" t="s">
        <v>594</v>
      </c>
      <c r="BA48" t="b">
        <f t="shared" si="9"/>
        <v>1</v>
      </c>
      <c r="BB48" t="b">
        <v>0</v>
      </c>
      <c r="BC48">
        <v>7091</v>
      </c>
      <c r="BD48" s="16" t="s">
        <v>687</v>
      </c>
      <c r="BE48" t="s">
        <v>594</v>
      </c>
      <c r="BF48" t="b">
        <f t="shared" si="10"/>
        <v>1</v>
      </c>
      <c r="BG48" t="b">
        <v>0</v>
      </c>
    </row>
    <row r="49" spans="1:59" x14ac:dyDescent="0.3">
      <c r="A49" s="1">
        <v>7093</v>
      </c>
      <c r="B49" s="16" t="s">
        <v>688</v>
      </c>
      <c r="C49" t="s">
        <v>595</v>
      </c>
      <c r="D49" s="1" t="b">
        <v>0</v>
      </c>
      <c r="E49">
        <v>7093</v>
      </c>
      <c r="F49" t="s">
        <v>688</v>
      </c>
      <c r="G49" t="s">
        <v>595</v>
      </c>
      <c r="H49" t="b">
        <f t="shared" si="0"/>
        <v>1</v>
      </c>
      <c r="I49" s="1" t="b">
        <v>0</v>
      </c>
      <c r="J49">
        <v>7093</v>
      </c>
      <c r="K49" t="s">
        <v>688</v>
      </c>
      <c r="L49" t="s">
        <v>595</v>
      </c>
      <c r="M49" t="b">
        <f t="shared" si="1"/>
        <v>1</v>
      </c>
      <c r="N49" s="1" t="b">
        <v>0</v>
      </c>
      <c r="O49">
        <v>7127</v>
      </c>
      <c r="P49" s="16" t="s">
        <v>670</v>
      </c>
      <c r="Q49" t="s">
        <v>1040</v>
      </c>
      <c r="R49" t="b">
        <f t="shared" si="2"/>
        <v>0</v>
      </c>
      <c r="S49" t="e">
        <v>#N/A</v>
      </c>
      <c r="T49">
        <v>7093</v>
      </c>
      <c r="U49" s="16" t="s">
        <v>688</v>
      </c>
      <c r="V49" t="s">
        <v>595</v>
      </c>
      <c r="W49" t="b">
        <f t="shared" si="3"/>
        <v>1</v>
      </c>
      <c r="X49" t="b">
        <v>0</v>
      </c>
      <c r="Y49">
        <v>7093</v>
      </c>
      <c r="Z49" s="16" t="s">
        <v>688</v>
      </c>
      <c r="AA49" t="s">
        <v>595</v>
      </c>
      <c r="AB49" t="b">
        <f t="shared" si="4"/>
        <v>1</v>
      </c>
      <c r="AC49" t="b">
        <v>0</v>
      </c>
      <c r="AD49">
        <v>7093</v>
      </c>
      <c r="AE49" s="16" t="s">
        <v>688</v>
      </c>
      <c r="AF49" t="s">
        <v>595</v>
      </c>
      <c r="AG49" t="b">
        <f t="shared" si="5"/>
        <v>1</v>
      </c>
      <c r="AH49" t="b">
        <v>0</v>
      </c>
      <c r="AI49">
        <v>7093</v>
      </c>
      <c r="AJ49" s="16" t="s">
        <v>688</v>
      </c>
      <c r="AK49" t="s">
        <v>595</v>
      </c>
      <c r="AL49" t="b">
        <f t="shared" si="6"/>
        <v>1</v>
      </c>
      <c r="AM49" t="b">
        <v>0</v>
      </c>
      <c r="AN49">
        <v>7093</v>
      </c>
      <c r="AO49" s="16" t="s">
        <v>688</v>
      </c>
      <c r="AP49" t="s">
        <v>595</v>
      </c>
      <c r="AQ49" t="b">
        <f t="shared" si="7"/>
        <v>1</v>
      </c>
      <c r="AR49" t="b">
        <v>0</v>
      </c>
      <c r="AS49">
        <v>7093</v>
      </c>
      <c r="AT49" t="s">
        <v>688</v>
      </c>
      <c r="AU49" t="s">
        <v>595</v>
      </c>
      <c r="AV49" t="b">
        <f t="shared" si="8"/>
        <v>1</v>
      </c>
      <c r="AW49" t="b">
        <v>0</v>
      </c>
      <c r="AX49">
        <v>7093</v>
      </c>
      <c r="AY49" s="16" t="s">
        <v>688</v>
      </c>
      <c r="AZ49" t="s">
        <v>595</v>
      </c>
      <c r="BA49" t="b">
        <f t="shared" si="9"/>
        <v>1</v>
      </c>
      <c r="BB49" t="b">
        <v>0</v>
      </c>
      <c r="BC49">
        <v>7093</v>
      </c>
      <c r="BD49" s="16" t="s">
        <v>688</v>
      </c>
      <c r="BE49" t="s">
        <v>595</v>
      </c>
      <c r="BF49" t="b">
        <f t="shared" si="10"/>
        <v>1</v>
      </c>
      <c r="BG49" t="b">
        <v>0</v>
      </c>
    </row>
    <row r="50" spans="1:59" x14ac:dyDescent="0.3">
      <c r="A50" s="1">
        <v>7095</v>
      </c>
      <c r="B50" s="16" t="s">
        <v>689</v>
      </c>
      <c r="C50" t="s">
        <v>596</v>
      </c>
      <c r="D50" s="1" t="b">
        <v>0</v>
      </c>
      <c r="E50">
        <v>7095</v>
      </c>
      <c r="F50" t="s">
        <v>689</v>
      </c>
      <c r="G50" t="s">
        <v>596</v>
      </c>
      <c r="H50" t="b">
        <f t="shared" si="0"/>
        <v>1</v>
      </c>
      <c r="I50" s="1" t="b">
        <v>0</v>
      </c>
      <c r="J50">
        <v>7095</v>
      </c>
      <c r="K50" t="s">
        <v>689</v>
      </c>
      <c r="L50" t="s">
        <v>596</v>
      </c>
      <c r="M50" t="b">
        <f t="shared" si="1"/>
        <v>1</v>
      </c>
      <c r="N50" s="1" t="b">
        <v>0</v>
      </c>
      <c r="O50">
        <v>7129</v>
      </c>
      <c r="P50" s="16" t="s">
        <v>671</v>
      </c>
      <c r="Q50" t="s">
        <v>1041</v>
      </c>
      <c r="R50" t="b">
        <f t="shared" si="2"/>
        <v>0</v>
      </c>
      <c r="S50" t="e">
        <v>#N/A</v>
      </c>
      <c r="T50">
        <v>7095</v>
      </c>
      <c r="U50" s="16" t="s">
        <v>689</v>
      </c>
      <c r="V50" t="s">
        <v>596</v>
      </c>
      <c r="W50" t="b">
        <f t="shared" si="3"/>
        <v>1</v>
      </c>
      <c r="X50" t="b">
        <v>0</v>
      </c>
      <c r="Y50">
        <v>7095</v>
      </c>
      <c r="Z50" s="16" t="s">
        <v>689</v>
      </c>
      <c r="AA50" t="s">
        <v>596</v>
      </c>
      <c r="AB50" t="b">
        <f t="shared" si="4"/>
        <v>1</v>
      </c>
      <c r="AC50" t="b">
        <v>0</v>
      </c>
      <c r="AD50">
        <v>7095</v>
      </c>
      <c r="AE50" s="16" t="s">
        <v>689</v>
      </c>
      <c r="AF50" t="s">
        <v>596</v>
      </c>
      <c r="AG50" t="b">
        <f t="shared" si="5"/>
        <v>1</v>
      </c>
      <c r="AH50" t="b">
        <v>0</v>
      </c>
      <c r="AI50">
        <v>7095</v>
      </c>
      <c r="AJ50" s="16" t="s">
        <v>689</v>
      </c>
      <c r="AK50" t="s">
        <v>596</v>
      </c>
      <c r="AL50" t="b">
        <f t="shared" si="6"/>
        <v>1</v>
      </c>
      <c r="AM50" t="b">
        <v>0</v>
      </c>
      <c r="AN50">
        <v>7095</v>
      </c>
      <c r="AO50" s="16" t="s">
        <v>689</v>
      </c>
      <c r="AP50" t="s">
        <v>596</v>
      </c>
      <c r="AQ50" t="b">
        <f t="shared" si="7"/>
        <v>1</v>
      </c>
      <c r="AR50" t="b">
        <v>0</v>
      </c>
      <c r="AS50">
        <v>7095</v>
      </c>
      <c r="AT50" t="s">
        <v>689</v>
      </c>
      <c r="AU50" t="s">
        <v>596</v>
      </c>
      <c r="AV50" t="b">
        <f t="shared" si="8"/>
        <v>1</v>
      </c>
      <c r="AW50" t="b">
        <v>0</v>
      </c>
      <c r="AX50">
        <v>7095</v>
      </c>
      <c r="AY50" s="16" t="s">
        <v>689</v>
      </c>
      <c r="AZ50" t="s">
        <v>596</v>
      </c>
      <c r="BA50" t="b">
        <f t="shared" si="9"/>
        <v>1</v>
      </c>
      <c r="BB50" t="b">
        <v>0</v>
      </c>
      <c r="BC50">
        <v>7095</v>
      </c>
      <c r="BD50" s="16" t="s">
        <v>689</v>
      </c>
      <c r="BE50" t="s">
        <v>596</v>
      </c>
      <c r="BF50" t="b">
        <f t="shared" si="10"/>
        <v>1</v>
      </c>
      <c r="BG50" t="b">
        <v>0</v>
      </c>
    </row>
    <row r="51" spans="1:59" x14ac:dyDescent="0.3">
      <c r="A51" s="1">
        <v>7097</v>
      </c>
      <c r="B51" s="16" t="s">
        <v>690</v>
      </c>
      <c r="C51" t="s">
        <v>597</v>
      </c>
      <c r="D51" s="1" t="b">
        <v>0</v>
      </c>
      <c r="E51">
        <v>7097</v>
      </c>
      <c r="F51" t="s">
        <v>690</v>
      </c>
      <c r="G51" t="s">
        <v>597</v>
      </c>
      <c r="H51" t="b">
        <f t="shared" si="0"/>
        <v>1</v>
      </c>
      <c r="I51" s="1" t="b">
        <v>0</v>
      </c>
      <c r="J51">
        <v>7097</v>
      </c>
      <c r="K51" t="s">
        <v>690</v>
      </c>
      <c r="L51" t="s">
        <v>597</v>
      </c>
      <c r="M51" t="b">
        <f t="shared" si="1"/>
        <v>1</v>
      </c>
      <c r="N51" s="1" t="b">
        <v>0</v>
      </c>
      <c r="O51">
        <v>7131</v>
      </c>
      <c r="P51" s="16" t="s">
        <v>672</v>
      </c>
      <c r="Q51" t="s">
        <v>1042</v>
      </c>
      <c r="R51" t="b">
        <f t="shared" si="2"/>
        <v>0</v>
      </c>
      <c r="S51" t="e">
        <v>#N/A</v>
      </c>
      <c r="T51">
        <v>7097</v>
      </c>
      <c r="U51" s="16" t="s">
        <v>690</v>
      </c>
      <c r="V51" t="s">
        <v>597</v>
      </c>
      <c r="W51" t="b">
        <f t="shared" si="3"/>
        <v>1</v>
      </c>
      <c r="X51" t="b">
        <v>0</v>
      </c>
      <c r="Y51">
        <v>7097</v>
      </c>
      <c r="Z51" s="16" t="s">
        <v>690</v>
      </c>
      <c r="AA51" t="s">
        <v>597</v>
      </c>
      <c r="AB51" t="b">
        <f t="shared" si="4"/>
        <v>1</v>
      </c>
      <c r="AC51" t="b">
        <v>0</v>
      </c>
      <c r="AD51">
        <v>7097</v>
      </c>
      <c r="AE51" s="16" t="s">
        <v>690</v>
      </c>
      <c r="AF51" t="s">
        <v>597</v>
      </c>
      <c r="AG51" t="b">
        <f t="shared" si="5"/>
        <v>1</v>
      </c>
      <c r="AH51" t="b">
        <v>0</v>
      </c>
      <c r="AI51">
        <v>7097</v>
      </c>
      <c r="AJ51" s="16" t="s">
        <v>690</v>
      </c>
      <c r="AK51" t="s">
        <v>597</v>
      </c>
      <c r="AL51" t="b">
        <f t="shared" si="6"/>
        <v>1</v>
      </c>
      <c r="AM51" t="b">
        <v>0</v>
      </c>
      <c r="AN51">
        <v>7097</v>
      </c>
      <c r="AO51" s="16" t="s">
        <v>690</v>
      </c>
      <c r="AP51" t="s">
        <v>597</v>
      </c>
      <c r="AQ51" t="b">
        <f t="shared" si="7"/>
        <v>1</v>
      </c>
      <c r="AR51" t="b">
        <v>0</v>
      </c>
      <c r="AS51">
        <v>7097</v>
      </c>
      <c r="AT51" t="s">
        <v>690</v>
      </c>
      <c r="AU51" t="s">
        <v>597</v>
      </c>
      <c r="AV51" t="b">
        <f t="shared" si="8"/>
        <v>1</v>
      </c>
      <c r="AW51" t="b">
        <v>0</v>
      </c>
      <c r="AX51">
        <v>7097</v>
      </c>
      <c r="AY51" s="16" t="s">
        <v>690</v>
      </c>
      <c r="AZ51" t="s">
        <v>597</v>
      </c>
      <c r="BA51" t="b">
        <f t="shared" si="9"/>
        <v>1</v>
      </c>
      <c r="BB51" t="b">
        <v>0</v>
      </c>
      <c r="BC51">
        <v>7097</v>
      </c>
      <c r="BD51" s="16" t="s">
        <v>690</v>
      </c>
      <c r="BE51" t="s">
        <v>597</v>
      </c>
      <c r="BF51" t="b">
        <f t="shared" si="10"/>
        <v>1</v>
      </c>
      <c r="BG51" t="b">
        <v>0</v>
      </c>
    </row>
    <row r="52" spans="1:59" x14ac:dyDescent="0.3">
      <c r="A52" s="1">
        <v>7099</v>
      </c>
      <c r="B52" s="16" t="s">
        <v>691</v>
      </c>
      <c r="C52" t="s">
        <v>598</v>
      </c>
      <c r="D52" s="1" t="b">
        <v>0</v>
      </c>
      <c r="E52">
        <v>7099</v>
      </c>
      <c r="F52" t="s">
        <v>691</v>
      </c>
      <c r="G52" t="s">
        <v>598</v>
      </c>
      <c r="H52" t="b">
        <f t="shared" si="0"/>
        <v>1</v>
      </c>
      <c r="I52" s="1" t="b">
        <v>0</v>
      </c>
      <c r="J52">
        <v>7099</v>
      </c>
      <c r="K52" t="s">
        <v>691</v>
      </c>
      <c r="L52" t="s">
        <v>598</v>
      </c>
      <c r="M52" t="b">
        <f t="shared" si="1"/>
        <v>1</v>
      </c>
      <c r="N52" s="1" t="b">
        <v>0</v>
      </c>
      <c r="O52">
        <v>7133</v>
      </c>
      <c r="P52" s="16" t="s">
        <v>673</v>
      </c>
      <c r="Q52" t="s">
        <v>1043</v>
      </c>
      <c r="R52" t="b">
        <f t="shared" si="2"/>
        <v>0</v>
      </c>
      <c r="S52" t="e">
        <v>#N/A</v>
      </c>
      <c r="T52">
        <v>7099</v>
      </c>
      <c r="U52" s="16" t="s">
        <v>691</v>
      </c>
      <c r="V52" t="s">
        <v>598</v>
      </c>
      <c r="W52" t="b">
        <f t="shared" si="3"/>
        <v>1</v>
      </c>
      <c r="X52" t="b">
        <v>0</v>
      </c>
      <c r="Y52">
        <v>7099</v>
      </c>
      <c r="Z52" s="16" t="s">
        <v>691</v>
      </c>
      <c r="AA52" t="s">
        <v>598</v>
      </c>
      <c r="AB52" t="b">
        <f t="shared" si="4"/>
        <v>1</v>
      </c>
      <c r="AC52" t="b">
        <v>0</v>
      </c>
      <c r="AD52">
        <v>7099</v>
      </c>
      <c r="AE52" s="16" t="s">
        <v>691</v>
      </c>
      <c r="AF52" t="s">
        <v>598</v>
      </c>
      <c r="AG52" t="b">
        <f t="shared" si="5"/>
        <v>1</v>
      </c>
      <c r="AH52" t="b">
        <v>0</v>
      </c>
      <c r="AI52">
        <v>7099</v>
      </c>
      <c r="AJ52" s="16" t="s">
        <v>691</v>
      </c>
      <c r="AK52" t="s">
        <v>598</v>
      </c>
      <c r="AL52" t="b">
        <f t="shared" si="6"/>
        <v>1</v>
      </c>
      <c r="AM52" t="b">
        <v>0</v>
      </c>
      <c r="AN52">
        <v>7099</v>
      </c>
      <c r="AO52" s="16" t="s">
        <v>691</v>
      </c>
      <c r="AP52" t="s">
        <v>598</v>
      </c>
      <c r="AQ52" t="b">
        <f t="shared" si="7"/>
        <v>1</v>
      </c>
      <c r="AR52" t="b">
        <v>0</v>
      </c>
      <c r="AS52">
        <v>7099</v>
      </c>
      <c r="AT52" t="s">
        <v>691</v>
      </c>
      <c r="AU52" t="s">
        <v>598</v>
      </c>
      <c r="AV52" t="b">
        <f t="shared" si="8"/>
        <v>1</v>
      </c>
      <c r="AW52" t="b">
        <v>0</v>
      </c>
      <c r="AX52">
        <v>7099</v>
      </c>
      <c r="AY52" s="16" t="s">
        <v>691</v>
      </c>
      <c r="AZ52" t="s">
        <v>598</v>
      </c>
      <c r="BA52" t="b">
        <f t="shared" si="9"/>
        <v>1</v>
      </c>
      <c r="BB52" t="b">
        <v>0</v>
      </c>
      <c r="BC52">
        <v>7099</v>
      </c>
      <c r="BD52" s="16" t="s">
        <v>691</v>
      </c>
      <c r="BE52" t="s">
        <v>598</v>
      </c>
      <c r="BF52" t="b">
        <f t="shared" si="10"/>
        <v>1</v>
      </c>
      <c r="BG52" t="b">
        <v>0</v>
      </c>
    </row>
    <row r="53" spans="1:59" x14ac:dyDescent="0.3">
      <c r="A53" s="1">
        <v>7101</v>
      </c>
      <c r="B53" s="16" t="s">
        <v>692</v>
      </c>
      <c r="C53" t="s">
        <v>599</v>
      </c>
      <c r="D53" s="1" t="b">
        <v>0</v>
      </c>
      <c r="E53">
        <v>7101</v>
      </c>
      <c r="F53" t="s">
        <v>692</v>
      </c>
      <c r="G53" t="s">
        <v>599</v>
      </c>
      <c r="H53" t="b">
        <f t="shared" si="0"/>
        <v>1</v>
      </c>
      <c r="I53" s="1" t="b">
        <v>0</v>
      </c>
      <c r="J53">
        <v>7101</v>
      </c>
      <c r="K53" t="s">
        <v>692</v>
      </c>
      <c r="L53" t="s">
        <v>599</v>
      </c>
      <c r="M53" t="b">
        <f t="shared" si="1"/>
        <v>1</v>
      </c>
      <c r="N53" s="1" t="b">
        <v>0</v>
      </c>
      <c r="O53">
        <v>7135</v>
      </c>
      <c r="P53" s="16" t="s">
        <v>674</v>
      </c>
      <c r="Q53" t="s">
        <v>1042</v>
      </c>
      <c r="R53" t="b">
        <f t="shared" si="2"/>
        <v>0</v>
      </c>
      <c r="S53" t="e">
        <v>#N/A</v>
      </c>
      <c r="T53">
        <v>7101</v>
      </c>
      <c r="U53" s="16" t="s">
        <v>692</v>
      </c>
      <c r="V53" t="s">
        <v>599</v>
      </c>
      <c r="W53" t="b">
        <f t="shared" si="3"/>
        <v>1</v>
      </c>
      <c r="X53" t="b">
        <v>0</v>
      </c>
      <c r="Y53">
        <v>7101</v>
      </c>
      <c r="Z53" s="16" t="s">
        <v>692</v>
      </c>
      <c r="AA53" t="s">
        <v>599</v>
      </c>
      <c r="AB53" t="b">
        <f t="shared" si="4"/>
        <v>1</v>
      </c>
      <c r="AC53" t="b">
        <v>0</v>
      </c>
      <c r="AD53">
        <v>7101</v>
      </c>
      <c r="AE53" s="16" t="s">
        <v>692</v>
      </c>
      <c r="AF53" t="s">
        <v>599</v>
      </c>
      <c r="AG53" t="b">
        <f t="shared" si="5"/>
        <v>1</v>
      </c>
      <c r="AH53" t="b">
        <v>0</v>
      </c>
      <c r="AI53">
        <v>7101</v>
      </c>
      <c r="AJ53" s="16" t="s">
        <v>692</v>
      </c>
      <c r="AK53" t="s">
        <v>599</v>
      </c>
      <c r="AL53" t="b">
        <f t="shared" si="6"/>
        <v>1</v>
      </c>
      <c r="AM53" t="b">
        <v>0</v>
      </c>
      <c r="AN53">
        <v>7101</v>
      </c>
      <c r="AO53" s="16" t="s">
        <v>692</v>
      </c>
      <c r="AP53" t="s">
        <v>599</v>
      </c>
      <c r="AQ53" t="b">
        <f t="shared" si="7"/>
        <v>1</v>
      </c>
      <c r="AR53" t="b">
        <v>0</v>
      </c>
      <c r="AS53">
        <v>7101</v>
      </c>
      <c r="AT53" t="s">
        <v>692</v>
      </c>
      <c r="AU53" t="s">
        <v>599</v>
      </c>
      <c r="AV53" t="b">
        <f t="shared" si="8"/>
        <v>1</v>
      </c>
      <c r="AW53" t="b">
        <v>0</v>
      </c>
      <c r="AX53">
        <v>7101</v>
      </c>
      <c r="AY53" s="16" t="s">
        <v>692</v>
      </c>
      <c r="AZ53" t="s">
        <v>599</v>
      </c>
      <c r="BA53" t="b">
        <f t="shared" si="9"/>
        <v>1</v>
      </c>
      <c r="BB53" t="b">
        <v>0</v>
      </c>
      <c r="BC53">
        <v>7101</v>
      </c>
      <c r="BD53" s="16" t="s">
        <v>692</v>
      </c>
      <c r="BE53" t="s">
        <v>599</v>
      </c>
      <c r="BF53" t="b">
        <f t="shared" si="10"/>
        <v>1</v>
      </c>
      <c r="BG53" t="b">
        <v>0</v>
      </c>
    </row>
    <row r="54" spans="1:59" x14ac:dyDescent="0.3">
      <c r="A54" s="1">
        <v>7103</v>
      </c>
      <c r="B54" s="16" t="s">
        <v>693</v>
      </c>
      <c r="C54" t="s">
        <v>600</v>
      </c>
      <c r="D54" s="1" t="b">
        <v>0</v>
      </c>
      <c r="E54">
        <v>7103</v>
      </c>
      <c r="F54" t="s">
        <v>693</v>
      </c>
      <c r="G54" t="s">
        <v>600</v>
      </c>
      <c r="H54" t="b">
        <f t="shared" si="0"/>
        <v>1</v>
      </c>
      <c r="I54" s="1" t="b">
        <v>0</v>
      </c>
      <c r="J54">
        <v>7103</v>
      </c>
      <c r="K54" t="s">
        <v>693</v>
      </c>
      <c r="L54" t="s">
        <v>600</v>
      </c>
      <c r="M54" t="b">
        <f t="shared" si="1"/>
        <v>1</v>
      </c>
      <c r="N54" s="1" t="b">
        <v>0</v>
      </c>
      <c r="O54">
        <v>7137</v>
      </c>
      <c r="P54" s="16" t="s">
        <v>675</v>
      </c>
      <c r="Q54" t="s">
        <v>581</v>
      </c>
      <c r="R54" t="b">
        <f t="shared" si="2"/>
        <v>0</v>
      </c>
      <c r="S54" t="e">
        <v>#N/A</v>
      </c>
      <c r="T54">
        <v>7103</v>
      </c>
      <c r="U54" s="16" t="s">
        <v>693</v>
      </c>
      <c r="V54" t="s">
        <v>600</v>
      </c>
      <c r="W54" t="b">
        <f t="shared" si="3"/>
        <v>1</v>
      </c>
      <c r="X54" t="b">
        <v>0</v>
      </c>
      <c r="Y54">
        <v>7103</v>
      </c>
      <c r="Z54" s="16" t="s">
        <v>693</v>
      </c>
      <c r="AA54" t="s">
        <v>600</v>
      </c>
      <c r="AB54" t="b">
        <f t="shared" si="4"/>
        <v>1</v>
      </c>
      <c r="AC54" t="b">
        <v>0</v>
      </c>
      <c r="AD54">
        <v>7103</v>
      </c>
      <c r="AE54" s="16" t="s">
        <v>693</v>
      </c>
      <c r="AF54" t="s">
        <v>600</v>
      </c>
      <c r="AG54" t="b">
        <f t="shared" si="5"/>
        <v>1</v>
      </c>
      <c r="AH54" t="b">
        <v>0</v>
      </c>
      <c r="AI54">
        <v>7103</v>
      </c>
      <c r="AJ54" s="16" t="s">
        <v>693</v>
      </c>
      <c r="AK54" t="s">
        <v>600</v>
      </c>
      <c r="AL54" t="b">
        <f t="shared" si="6"/>
        <v>1</v>
      </c>
      <c r="AM54" t="b">
        <v>0</v>
      </c>
      <c r="AN54">
        <v>7103</v>
      </c>
      <c r="AO54" s="16" t="s">
        <v>693</v>
      </c>
      <c r="AP54" t="s">
        <v>600</v>
      </c>
      <c r="AQ54" t="b">
        <f t="shared" si="7"/>
        <v>1</v>
      </c>
      <c r="AR54" t="b">
        <v>0</v>
      </c>
      <c r="AS54">
        <v>7103</v>
      </c>
      <c r="AT54" t="s">
        <v>693</v>
      </c>
      <c r="AU54" t="s">
        <v>600</v>
      </c>
      <c r="AV54" t="b">
        <f t="shared" si="8"/>
        <v>1</v>
      </c>
      <c r="AW54" t="b">
        <v>0</v>
      </c>
      <c r="AX54">
        <v>7103</v>
      </c>
      <c r="AY54" s="16" t="s">
        <v>693</v>
      </c>
      <c r="AZ54" t="s">
        <v>600</v>
      </c>
      <c r="BA54" t="b">
        <f t="shared" si="9"/>
        <v>1</v>
      </c>
      <c r="BB54" t="b">
        <v>0</v>
      </c>
      <c r="BC54">
        <v>7103</v>
      </c>
      <c r="BD54" s="16" t="s">
        <v>693</v>
      </c>
      <c r="BE54" t="s">
        <v>600</v>
      </c>
      <c r="BF54" t="b">
        <f t="shared" si="10"/>
        <v>1</v>
      </c>
      <c r="BG54" t="b">
        <v>0</v>
      </c>
    </row>
    <row r="55" spans="1:59" x14ac:dyDescent="0.3">
      <c r="A55" s="1">
        <v>7105</v>
      </c>
      <c r="B55" s="16" t="s">
        <v>694</v>
      </c>
      <c r="C55" t="s">
        <v>601</v>
      </c>
      <c r="D55" s="1" t="b">
        <v>0</v>
      </c>
      <c r="E55">
        <v>7105</v>
      </c>
      <c r="F55" t="s">
        <v>694</v>
      </c>
      <c r="G55" t="s">
        <v>601</v>
      </c>
      <c r="H55" t="b">
        <f t="shared" si="0"/>
        <v>1</v>
      </c>
      <c r="I55" s="1" t="b">
        <v>0</v>
      </c>
      <c r="J55">
        <v>7105</v>
      </c>
      <c r="K55" t="s">
        <v>694</v>
      </c>
      <c r="L55" t="s">
        <v>601</v>
      </c>
      <c r="M55" t="b">
        <f t="shared" si="1"/>
        <v>1</v>
      </c>
      <c r="N55" s="1" t="b">
        <v>0</v>
      </c>
      <c r="O55" s="30">
        <v>7139</v>
      </c>
      <c r="P55" s="32" t="s">
        <v>728</v>
      </c>
      <c r="Q55" s="30" t="s">
        <v>636</v>
      </c>
      <c r="R55" s="30" t="b">
        <f t="shared" si="2"/>
        <v>0</v>
      </c>
      <c r="S55" s="30">
        <v>18</v>
      </c>
      <c r="T55">
        <v>7105</v>
      </c>
      <c r="U55" s="16" t="s">
        <v>694</v>
      </c>
      <c r="V55" t="s">
        <v>601</v>
      </c>
      <c r="W55" t="b">
        <f t="shared" si="3"/>
        <v>1</v>
      </c>
      <c r="X55" t="b">
        <v>0</v>
      </c>
      <c r="Y55">
        <v>7105</v>
      </c>
      <c r="Z55" s="16" t="s">
        <v>694</v>
      </c>
      <c r="AA55" t="s">
        <v>601</v>
      </c>
      <c r="AB55" t="b">
        <f t="shared" si="4"/>
        <v>1</v>
      </c>
      <c r="AC55" t="b">
        <v>0</v>
      </c>
      <c r="AD55">
        <v>7105</v>
      </c>
      <c r="AE55" s="16" t="s">
        <v>694</v>
      </c>
      <c r="AF55" t="s">
        <v>601</v>
      </c>
      <c r="AG55" t="b">
        <f t="shared" si="5"/>
        <v>1</v>
      </c>
      <c r="AH55" t="b">
        <v>0</v>
      </c>
      <c r="AI55">
        <v>7105</v>
      </c>
      <c r="AJ55" s="16" t="s">
        <v>694</v>
      </c>
      <c r="AK55" t="s">
        <v>601</v>
      </c>
      <c r="AL55" t="b">
        <f t="shared" si="6"/>
        <v>1</v>
      </c>
      <c r="AM55" t="b">
        <v>0</v>
      </c>
      <c r="AN55">
        <v>7105</v>
      </c>
      <c r="AO55" s="16" t="s">
        <v>694</v>
      </c>
      <c r="AP55" t="s">
        <v>601</v>
      </c>
      <c r="AQ55" t="b">
        <f t="shared" si="7"/>
        <v>1</v>
      </c>
      <c r="AR55" t="b">
        <v>0</v>
      </c>
      <c r="AS55">
        <v>7105</v>
      </c>
      <c r="AT55" t="s">
        <v>694</v>
      </c>
      <c r="AU55" t="s">
        <v>601</v>
      </c>
      <c r="AV55" t="b">
        <f t="shared" si="8"/>
        <v>1</v>
      </c>
      <c r="AW55" t="b">
        <v>0</v>
      </c>
      <c r="AX55">
        <v>7105</v>
      </c>
      <c r="AY55" s="16" t="s">
        <v>694</v>
      </c>
      <c r="AZ55" t="s">
        <v>601</v>
      </c>
      <c r="BA55" t="b">
        <f t="shared" si="9"/>
        <v>1</v>
      </c>
      <c r="BB55" t="b">
        <v>0</v>
      </c>
      <c r="BC55">
        <v>7105</v>
      </c>
      <c r="BD55" s="16" t="s">
        <v>694</v>
      </c>
      <c r="BE55" t="s">
        <v>601</v>
      </c>
      <c r="BF55" t="b">
        <f t="shared" si="10"/>
        <v>1</v>
      </c>
      <c r="BG55" t="b">
        <v>0</v>
      </c>
    </row>
    <row r="56" spans="1:59" x14ac:dyDescent="0.3">
      <c r="A56" s="1">
        <v>7107</v>
      </c>
      <c r="B56" s="16" t="s">
        <v>695</v>
      </c>
      <c r="C56" t="s">
        <v>602</v>
      </c>
      <c r="D56" s="1" t="b">
        <v>0</v>
      </c>
      <c r="E56">
        <v>7107</v>
      </c>
      <c r="F56" t="s">
        <v>695</v>
      </c>
      <c r="G56" t="s">
        <v>602</v>
      </c>
      <c r="H56" t="b">
        <f t="shared" si="0"/>
        <v>1</v>
      </c>
      <c r="I56" s="1" t="b">
        <v>0</v>
      </c>
      <c r="J56">
        <v>7107</v>
      </c>
      <c r="K56" t="s">
        <v>695</v>
      </c>
      <c r="L56" t="s">
        <v>602</v>
      </c>
      <c r="M56" t="b">
        <f t="shared" si="1"/>
        <v>1</v>
      </c>
      <c r="N56" s="1" t="b">
        <v>0</v>
      </c>
      <c r="O56">
        <v>7141</v>
      </c>
      <c r="P56" s="16" t="s">
        <v>730</v>
      </c>
      <c r="Q56" t="s">
        <v>638</v>
      </c>
      <c r="R56" t="b">
        <f t="shared" si="2"/>
        <v>0</v>
      </c>
      <c r="S56" t="e">
        <v>#N/A</v>
      </c>
      <c r="T56">
        <v>7107</v>
      </c>
      <c r="U56" s="16" t="s">
        <v>695</v>
      </c>
      <c r="V56" t="s">
        <v>602</v>
      </c>
      <c r="W56" t="b">
        <f t="shared" si="3"/>
        <v>1</v>
      </c>
      <c r="X56" t="b">
        <v>0</v>
      </c>
      <c r="Y56">
        <v>7107</v>
      </c>
      <c r="Z56" s="16" t="s">
        <v>695</v>
      </c>
      <c r="AA56" t="s">
        <v>602</v>
      </c>
      <c r="AB56" t="b">
        <f t="shared" si="4"/>
        <v>1</v>
      </c>
      <c r="AC56" t="b">
        <v>0</v>
      </c>
      <c r="AD56">
        <v>7107</v>
      </c>
      <c r="AE56" s="16" t="s">
        <v>695</v>
      </c>
      <c r="AF56" t="s">
        <v>602</v>
      </c>
      <c r="AG56" t="b">
        <f t="shared" si="5"/>
        <v>1</v>
      </c>
      <c r="AH56" t="b">
        <v>0</v>
      </c>
      <c r="AI56">
        <v>7107</v>
      </c>
      <c r="AJ56" s="16" t="s">
        <v>695</v>
      </c>
      <c r="AK56" t="s">
        <v>602</v>
      </c>
      <c r="AL56" t="b">
        <f t="shared" si="6"/>
        <v>1</v>
      </c>
      <c r="AM56" t="b">
        <v>0</v>
      </c>
      <c r="AN56">
        <v>7107</v>
      </c>
      <c r="AO56" s="16" t="s">
        <v>695</v>
      </c>
      <c r="AP56" t="s">
        <v>602</v>
      </c>
      <c r="AQ56" t="b">
        <f t="shared" si="7"/>
        <v>1</v>
      </c>
      <c r="AR56" t="b">
        <v>0</v>
      </c>
      <c r="AS56">
        <v>7107</v>
      </c>
      <c r="AT56" t="s">
        <v>695</v>
      </c>
      <c r="AU56" t="s">
        <v>602</v>
      </c>
      <c r="AV56" t="b">
        <f t="shared" si="8"/>
        <v>1</v>
      </c>
      <c r="AW56" t="b">
        <v>0</v>
      </c>
      <c r="AX56">
        <v>7107</v>
      </c>
      <c r="AY56" s="16" t="s">
        <v>695</v>
      </c>
      <c r="AZ56" t="s">
        <v>602</v>
      </c>
      <c r="BA56" t="b">
        <f t="shared" si="9"/>
        <v>1</v>
      </c>
      <c r="BB56" t="b">
        <v>0</v>
      </c>
      <c r="BC56">
        <v>7107</v>
      </c>
      <c r="BD56" s="16" t="s">
        <v>695</v>
      </c>
      <c r="BE56" t="s">
        <v>602</v>
      </c>
      <c r="BF56" t="b">
        <f t="shared" si="10"/>
        <v>1</v>
      </c>
      <c r="BG56" t="b">
        <v>0</v>
      </c>
    </row>
    <row r="57" spans="1:59" x14ac:dyDescent="0.3">
      <c r="A57" s="1">
        <v>7109</v>
      </c>
      <c r="B57" s="16" t="s">
        <v>696</v>
      </c>
      <c r="C57" t="s">
        <v>603</v>
      </c>
      <c r="D57" s="1" t="b">
        <v>0</v>
      </c>
      <c r="E57">
        <v>7109</v>
      </c>
      <c r="F57" t="s">
        <v>696</v>
      </c>
      <c r="G57" t="s">
        <v>603</v>
      </c>
      <c r="H57" t="b">
        <f t="shared" si="0"/>
        <v>1</v>
      </c>
      <c r="I57" s="1" t="b">
        <v>0</v>
      </c>
      <c r="J57">
        <v>7109</v>
      </c>
      <c r="K57" t="s">
        <v>696</v>
      </c>
      <c r="L57" t="s">
        <v>603</v>
      </c>
      <c r="M57" t="b">
        <f t="shared" si="1"/>
        <v>1</v>
      </c>
      <c r="N57" s="1" t="b">
        <v>0</v>
      </c>
      <c r="O57">
        <v>7143</v>
      </c>
      <c r="P57" s="16" t="s">
        <v>731</v>
      </c>
      <c r="Q57" t="s">
        <v>1044</v>
      </c>
      <c r="R57" t="b">
        <f t="shared" si="2"/>
        <v>0</v>
      </c>
      <c r="S57" t="e">
        <v>#N/A</v>
      </c>
      <c r="T57">
        <v>7109</v>
      </c>
      <c r="U57" s="16" t="s">
        <v>696</v>
      </c>
      <c r="V57" t="s">
        <v>603</v>
      </c>
      <c r="W57" t="b">
        <f t="shared" si="3"/>
        <v>1</v>
      </c>
      <c r="X57" t="b">
        <v>0</v>
      </c>
      <c r="Y57">
        <v>7109</v>
      </c>
      <c r="Z57" s="16" t="s">
        <v>696</v>
      </c>
      <c r="AA57" t="s">
        <v>603</v>
      </c>
      <c r="AB57" t="b">
        <f t="shared" si="4"/>
        <v>1</v>
      </c>
      <c r="AC57" t="b">
        <v>0</v>
      </c>
      <c r="AD57">
        <v>7109</v>
      </c>
      <c r="AE57" s="16" t="s">
        <v>696</v>
      </c>
      <c r="AF57" t="s">
        <v>603</v>
      </c>
      <c r="AG57" t="b">
        <f t="shared" si="5"/>
        <v>1</v>
      </c>
      <c r="AH57" t="b">
        <v>0</v>
      </c>
      <c r="AI57">
        <v>7109</v>
      </c>
      <c r="AJ57" s="16" t="s">
        <v>696</v>
      </c>
      <c r="AK57" t="s">
        <v>603</v>
      </c>
      <c r="AL57" t="b">
        <f t="shared" si="6"/>
        <v>1</v>
      </c>
      <c r="AM57" t="b">
        <v>0</v>
      </c>
      <c r="AN57">
        <v>7109</v>
      </c>
      <c r="AO57" s="16" t="s">
        <v>696</v>
      </c>
      <c r="AP57" t="s">
        <v>603</v>
      </c>
      <c r="AQ57" t="b">
        <f t="shared" si="7"/>
        <v>1</v>
      </c>
      <c r="AR57" t="b">
        <v>0</v>
      </c>
      <c r="AS57">
        <v>7109</v>
      </c>
      <c r="AT57" t="s">
        <v>696</v>
      </c>
      <c r="AU57" t="s">
        <v>603</v>
      </c>
      <c r="AV57" t="b">
        <f t="shared" si="8"/>
        <v>1</v>
      </c>
      <c r="AW57" t="b">
        <v>0</v>
      </c>
      <c r="AX57">
        <v>7109</v>
      </c>
      <c r="AY57" s="16" t="s">
        <v>696</v>
      </c>
      <c r="AZ57" t="s">
        <v>603</v>
      </c>
      <c r="BA57" t="b">
        <f t="shared" si="9"/>
        <v>1</v>
      </c>
      <c r="BB57" t="b">
        <v>0</v>
      </c>
      <c r="BC57">
        <v>7109</v>
      </c>
      <c r="BD57" s="16" t="s">
        <v>696</v>
      </c>
      <c r="BE57" t="s">
        <v>603</v>
      </c>
      <c r="BF57" t="b">
        <f t="shared" si="10"/>
        <v>1</v>
      </c>
      <c r="BG57" t="b">
        <v>0</v>
      </c>
    </row>
    <row r="58" spans="1:59" x14ac:dyDescent="0.3">
      <c r="A58" s="1">
        <v>7111</v>
      </c>
      <c r="B58" s="16" t="s">
        <v>697</v>
      </c>
      <c r="C58" t="s">
        <v>604</v>
      </c>
      <c r="D58" s="1" t="b">
        <v>0</v>
      </c>
      <c r="E58">
        <v>7111</v>
      </c>
      <c r="F58" t="s">
        <v>697</v>
      </c>
      <c r="G58" t="s">
        <v>604</v>
      </c>
      <c r="H58" t="b">
        <f t="shared" si="0"/>
        <v>1</v>
      </c>
      <c r="I58" s="1" t="b">
        <v>0</v>
      </c>
      <c r="J58">
        <v>7111</v>
      </c>
      <c r="K58" t="s">
        <v>697</v>
      </c>
      <c r="L58" t="s">
        <v>604</v>
      </c>
      <c r="M58" t="b">
        <f t="shared" si="1"/>
        <v>1</v>
      </c>
      <c r="N58" s="1" t="b">
        <v>0</v>
      </c>
      <c r="O58">
        <v>7147</v>
      </c>
      <c r="P58" s="16" t="s">
        <v>732</v>
      </c>
      <c r="Q58" t="s">
        <v>1045</v>
      </c>
      <c r="R58" t="b">
        <f t="shared" si="2"/>
        <v>0</v>
      </c>
      <c r="S58" t="e">
        <v>#N/A</v>
      </c>
      <c r="T58">
        <v>7111</v>
      </c>
      <c r="U58" s="16" t="s">
        <v>697</v>
      </c>
      <c r="V58" t="s">
        <v>604</v>
      </c>
      <c r="W58" t="b">
        <f t="shared" si="3"/>
        <v>1</v>
      </c>
      <c r="X58" t="b">
        <v>0</v>
      </c>
      <c r="Y58">
        <v>7111</v>
      </c>
      <c r="Z58" s="16" t="s">
        <v>697</v>
      </c>
      <c r="AA58" t="s">
        <v>604</v>
      </c>
      <c r="AB58" t="b">
        <f t="shared" si="4"/>
        <v>1</v>
      </c>
      <c r="AC58" t="b">
        <v>0</v>
      </c>
      <c r="AD58">
        <v>7111</v>
      </c>
      <c r="AE58" s="16" t="s">
        <v>697</v>
      </c>
      <c r="AF58" t="s">
        <v>604</v>
      </c>
      <c r="AG58" t="b">
        <f t="shared" si="5"/>
        <v>1</v>
      </c>
      <c r="AH58" t="b">
        <v>0</v>
      </c>
      <c r="AI58">
        <v>7111</v>
      </c>
      <c r="AJ58" s="16" t="s">
        <v>697</v>
      </c>
      <c r="AK58" t="s">
        <v>604</v>
      </c>
      <c r="AL58" t="b">
        <f t="shared" si="6"/>
        <v>1</v>
      </c>
      <c r="AM58" t="b">
        <v>0</v>
      </c>
      <c r="AN58">
        <v>7111</v>
      </c>
      <c r="AO58" s="16" t="s">
        <v>697</v>
      </c>
      <c r="AP58" t="s">
        <v>604</v>
      </c>
      <c r="AQ58" t="b">
        <f t="shared" si="7"/>
        <v>1</v>
      </c>
      <c r="AR58" t="b">
        <v>0</v>
      </c>
      <c r="AS58">
        <v>7111</v>
      </c>
      <c r="AT58" t="s">
        <v>697</v>
      </c>
      <c r="AU58" t="s">
        <v>604</v>
      </c>
      <c r="AV58" t="b">
        <f t="shared" si="8"/>
        <v>1</v>
      </c>
      <c r="AW58" t="b">
        <v>0</v>
      </c>
      <c r="AX58">
        <v>7111</v>
      </c>
      <c r="AY58" s="16" t="s">
        <v>697</v>
      </c>
      <c r="AZ58" t="s">
        <v>604</v>
      </c>
      <c r="BA58" t="b">
        <f t="shared" si="9"/>
        <v>1</v>
      </c>
      <c r="BB58" t="b">
        <v>0</v>
      </c>
      <c r="BC58">
        <v>7111</v>
      </c>
      <c r="BD58" s="16" t="s">
        <v>697</v>
      </c>
      <c r="BE58" t="s">
        <v>604</v>
      </c>
      <c r="BF58" t="b">
        <f t="shared" si="10"/>
        <v>1</v>
      </c>
      <c r="BG58" t="b">
        <v>0</v>
      </c>
    </row>
    <row r="59" spans="1:59" x14ac:dyDescent="0.3">
      <c r="A59" s="1">
        <v>7113</v>
      </c>
      <c r="B59" s="16" t="s">
        <v>698</v>
      </c>
      <c r="C59" t="s">
        <v>605</v>
      </c>
      <c r="D59" s="1" t="b">
        <v>0</v>
      </c>
      <c r="E59">
        <v>7113</v>
      </c>
      <c r="F59" t="s">
        <v>698</v>
      </c>
      <c r="G59" t="s">
        <v>605</v>
      </c>
      <c r="H59" t="b">
        <f t="shared" si="0"/>
        <v>1</v>
      </c>
      <c r="I59" s="1" t="b">
        <v>0</v>
      </c>
      <c r="J59">
        <v>7113</v>
      </c>
      <c r="K59" t="s">
        <v>698</v>
      </c>
      <c r="L59" t="s">
        <v>605</v>
      </c>
      <c r="M59" t="b">
        <f t="shared" si="1"/>
        <v>1</v>
      </c>
      <c r="N59" s="1" t="b">
        <v>0</v>
      </c>
      <c r="O59">
        <v>7151</v>
      </c>
      <c r="P59" s="16" t="s">
        <v>733</v>
      </c>
      <c r="Q59" t="s">
        <v>1046</v>
      </c>
      <c r="R59" t="b">
        <f t="shared" si="2"/>
        <v>0</v>
      </c>
      <c r="S59" t="e">
        <v>#N/A</v>
      </c>
      <c r="T59">
        <v>7113</v>
      </c>
      <c r="U59" s="16" t="s">
        <v>698</v>
      </c>
      <c r="V59" t="s">
        <v>605</v>
      </c>
      <c r="W59" t="b">
        <f t="shared" si="3"/>
        <v>1</v>
      </c>
      <c r="X59" t="b">
        <v>0</v>
      </c>
      <c r="Y59">
        <v>7113</v>
      </c>
      <c r="Z59" s="16" t="s">
        <v>698</v>
      </c>
      <c r="AA59" t="s">
        <v>605</v>
      </c>
      <c r="AB59" t="b">
        <f t="shared" si="4"/>
        <v>1</v>
      </c>
      <c r="AC59" t="b">
        <v>0</v>
      </c>
      <c r="AD59">
        <v>7113</v>
      </c>
      <c r="AE59" s="16" t="s">
        <v>698</v>
      </c>
      <c r="AF59" t="s">
        <v>605</v>
      </c>
      <c r="AG59" t="b">
        <f t="shared" si="5"/>
        <v>1</v>
      </c>
      <c r="AH59" t="b">
        <v>0</v>
      </c>
      <c r="AI59">
        <v>7113</v>
      </c>
      <c r="AJ59" s="16" t="s">
        <v>698</v>
      </c>
      <c r="AK59" t="s">
        <v>605</v>
      </c>
      <c r="AL59" t="b">
        <f t="shared" si="6"/>
        <v>1</v>
      </c>
      <c r="AM59" t="b">
        <v>0</v>
      </c>
      <c r="AN59">
        <v>7113</v>
      </c>
      <c r="AO59" s="16" t="s">
        <v>698</v>
      </c>
      <c r="AP59" t="s">
        <v>605</v>
      </c>
      <c r="AQ59" t="b">
        <f t="shared" si="7"/>
        <v>1</v>
      </c>
      <c r="AR59" t="b">
        <v>0</v>
      </c>
      <c r="AS59">
        <v>7113</v>
      </c>
      <c r="AT59" t="s">
        <v>698</v>
      </c>
      <c r="AU59" t="s">
        <v>605</v>
      </c>
      <c r="AV59" t="b">
        <f t="shared" si="8"/>
        <v>1</v>
      </c>
      <c r="AW59" t="b">
        <v>0</v>
      </c>
      <c r="AX59">
        <v>7113</v>
      </c>
      <c r="AY59" s="16" t="s">
        <v>698</v>
      </c>
      <c r="AZ59" t="s">
        <v>605</v>
      </c>
      <c r="BA59" t="b">
        <f t="shared" si="9"/>
        <v>1</v>
      </c>
      <c r="BB59" t="b">
        <v>0</v>
      </c>
      <c r="BC59">
        <v>7113</v>
      </c>
      <c r="BD59" s="16" t="s">
        <v>698</v>
      </c>
      <c r="BE59" t="s">
        <v>605</v>
      </c>
      <c r="BF59" t="b">
        <f t="shared" si="10"/>
        <v>1</v>
      </c>
      <c r="BG59" t="b">
        <v>0</v>
      </c>
    </row>
    <row r="60" spans="1:59" s="30" customFormat="1" x14ac:dyDescent="0.3">
      <c r="A60" s="31">
        <v>7115</v>
      </c>
      <c r="B60" s="32" t="s">
        <v>699</v>
      </c>
      <c r="C60" s="30" t="s">
        <v>606</v>
      </c>
      <c r="D60" s="31">
        <v>57</v>
      </c>
      <c r="E60" s="30">
        <v>7115</v>
      </c>
      <c r="F60" s="30" t="s">
        <v>699</v>
      </c>
      <c r="G60" s="30" t="s">
        <v>606</v>
      </c>
      <c r="H60" s="30" t="b">
        <f t="shared" si="0"/>
        <v>1</v>
      </c>
      <c r="I60" s="31">
        <v>57</v>
      </c>
      <c r="J60" s="30">
        <v>7115</v>
      </c>
      <c r="K60" s="30" t="s">
        <v>699</v>
      </c>
      <c r="L60" s="30" t="s">
        <v>606</v>
      </c>
      <c r="M60" s="30" t="b">
        <f t="shared" si="1"/>
        <v>1</v>
      </c>
      <c r="N60" s="31">
        <v>57</v>
      </c>
      <c r="T60" s="30">
        <v>7115</v>
      </c>
      <c r="U60" s="32" t="s">
        <v>699</v>
      </c>
      <c r="V60" s="30" t="s">
        <v>606</v>
      </c>
      <c r="W60" s="30" t="b">
        <f t="shared" si="3"/>
        <v>1</v>
      </c>
      <c r="X60" s="30">
        <v>57</v>
      </c>
      <c r="Y60" s="30">
        <v>7115</v>
      </c>
      <c r="Z60" s="32" t="s">
        <v>699</v>
      </c>
      <c r="AA60" s="30" t="s">
        <v>606</v>
      </c>
      <c r="AB60" s="30" t="b">
        <f t="shared" si="4"/>
        <v>1</v>
      </c>
      <c r="AC60" s="30">
        <v>57</v>
      </c>
      <c r="AD60" s="30">
        <v>7115</v>
      </c>
      <c r="AE60" s="32" t="s">
        <v>699</v>
      </c>
      <c r="AF60" s="30" t="s">
        <v>606</v>
      </c>
      <c r="AG60" s="30" t="b">
        <f t="shared" si="5"/>
        <v>1</v>
      </c>
      <c r="AH60" s="30">
        <v>57</v>
      </c>
      <c r="AI60" s="30">
        <v>7115</v>
      </c>
      <c r="AJ60" s="32" t="s">
        <v>699</v>
      </c>
      <c r="AK60" s="30" t="s">
        <v>606</v>
      </c>
      <c r="AL60" s="30" t="b">
        <f t="shared" si="6"/>
        <v>1</v>
      </c>
      <c r="AM60" s="30">
        <v>57</v>
      </c>
      <c r="AN60" s="30">
        <v>7115</v>
      </c>
      <c r="AO60" s="32" t="s">
        <v>699</v>
      </c>
      <c r="AP60" s="30" t="s">
        <v>606</v>
      </c>
      <c r="AQ60" s="30" t="b">
        <f t="shared" si="7"/>
        <v>1</v>
      </c>
      <c r="AR60" s="30">
        <v>57</v>
      </c>
      <c r="AS60" s="30">
        <v>7115</v>
      </c>
      <c r="AT60" s="30" t="s">
        <v>699</v>
      </c>
      <c r="AU60" s="30" t="s">
        <v>606</v>
      </c>
      <c r="AV60" s="30" t="b">
        <f t="shared" si="8"/>
        <v>1</v>
      </c>
      <c r="AW60" s="30">
        <v>57</v>
      </c>
      <c r="AX60" s="30">
        <v>7115</v>
      </c>
      <c r="AY60" s="32" t="s">
        <v>699</v>
      </c>
      <c r="AZ60" s="30" t="s">
        <v>606</v>
      </c>
      <c r="BA60" s="30" t="b">
        <f t="shared" si="9"/>
        <v>1</v>
      </c>
      <c r="BB60" s="30">
        <v>57</v>
      </c>
      <c r="BC60" s="30">
        <v>7115</v>
      </c>
      <c r="BD60" s="32" t="s">
        <v>699</v>
      </c>
      <c r="BE60" s="30" t="s">
        <v>606</v>
      </c>
      <c r="BF60" s="30" t="b">
        <f t="shared" si="10"/>
        <v>1</v>
      </c>
      <c r="BG60" s="30">
        <v>57</v>
      </c>
    </row>
    <row r="61" spans="1:59" s="30" customFormat="1" x14ac:dyDescent="0.3">
      <c r="A61" s="31">
        <v>7117</v>
      </c>
      <c r="B61" s="32" t="s">
        <v>700</v>
      </c>
      <c r="C61" s="30" t="s">
        <v>607</v>
      </c>
      <c r="D61" s="31">
        <v>58</v>
      </c>
      <c r="E61" s="30">
        <v>7117</v>
      </c>
      <c r="F61" s="30" t="s">
        <v>700</v>
      </c>
      <c r="G61" s="30" t="s">
        <v>607</v>
      </c>
      <c r="H61" s="30" t="b">
        <f t="shared" si="0"/>
        <v>1</v>
      </c>
      <c r="I61" s="31">
        <v>58</v>
      </c>
      <c r="J61" s="30">
        <v>7117</v>
      </c>
      <c r="K61" s="30" t="s">
        <v>700</v>
      </c>
      <c r="L61" s="30" t="s">
        <v>607</v>
      </c>
      <c r="M61" s="30" t="b">
        <f t="shared" si="1"/>
        <v>1</v>
      </c>
      <c r="N61" s="31">
        <v>58</v>
      </c>
      <c r="T61" s="30">
        <v>7117</v>
      </c>
      <c r="U61" s="32" t="s">
        <v>700</v>
      </c>
      <c r="V61" s="30" t="s">
        <v>607</v>
      </c>
      <c r="W61" s="30" t="b">
        <f t="shared" si="3"/>
        <v>1</v>
      </c>
      <c r="X61" s="30">
        <v>58</v>
      </c>
      <c r="Y61" s="30">
        <v>7117</v>
      </c>
      <c r="Z61" s="32" t="s">
        <v>700</v>
      </c>
      <c r="AA61" s="30" t="s">
        <v>607</v>
      </c>
      <c r="AB61" s="30" t="b">
        <f t="shared" si="4"/>
        <v>1</v>
      </c>
      <c r="AC61" s="30">
        <v>58</v>
      </c>
      <c r="AD61" s="30">
        <v>7117</v>
      </c>
      <c r="AE61" s="32" t="s">
        <v>700</v>
      </c>
      <c r="AF61" s="30" t="s">
        <v>607</v>
      </c>
      <c r="AG61" s="30" t="b">
        <f t="shared" si="5"/>
        <v>1</v>
      </c>
      <c r="AH61" s="30">
        <v>58</v>
      </c>
      <c r="AI61" s="30">
        <v>7117</v>
      </c>
      <c r="AJ61" s="32" t="s">
        <v>700</v>
      </c>
      <c r="AK61" s="30" t="s">
        <v>607</v>
      </c>
      <c r="AL61" s="30" t="b">
        <f t="shared" si="6"/>
        <v>1</v>
      </c>
      <c r="AM61" s="30">
        <v>58</v>
      </c>
      <c r="AN61" s="30">
        <v>7117</v>
      </c>
      <c r="AO61" s="32" t="s">
        <v>700</v>
      </c>
      <c r="AP61" s="30" t="s">
        <v>607</v>
      </c>
      <c r="AQ61" s="30" t="b">
        <f t="shared" si="7"/>
        <v>1</v>
      </c>
      <c r="AR61" s="30">
        <v>58</v>
      </c>
      <c r="AS61" s="30">
        <v>7117</v>
      </c>
      <c r="AT61" s="30" t="s">
        <v>700</v>
      </c>
      <c r="AU61" s="30" t="s">
        <v>607</v>
      </c>
      <c r="AV61" s="30" t="b">
        <f t="shared" si="8"/>
        <v>1</v>
      </c>
      <c r="AW61" s="30">
        <v>58</v>
      </c>
      <c r="AX61" s="30">
        <v>7117</v>
      </c>
      <c r="AY61" s="32" t="s">
        <v>700</v>
      </c>
      <c r="AZ61" s="30" t="s">
        <v>607</v>
      </c>
      <c r="BA61" s="30" t="b">
        <f t="shared" si="9"/>
        <v>1</v>
      </c>
      <c r="BB61" s="30">
        <v>58</v>
      </c>
      <c r="BC61" s="30">
        <v>7117</v>
      </c>
      <c r="BD61" s="32" t="s">
        <v>700</v>
      </c>
      <c r="BE61" s="30" t="s">
        <v>607</v>
      </c>
      <c r="BF61" s="30" t="b">
        <f t="shared" si="10"/>
        <v>1</v>
      </c>
      <c r="BG61" s="30">
        <v>58</v>
      </c>
    </row>
    <row r="62" spans="1:59" s="30" customFormat="1" x14ac:dyDescent="0.3">
      <c r="A62" s="31">
        <v>7119</v>
      </c>
      <c r="B62" s="32" t="s">
        <v>701</v>
      </c>
      <c r="C62" s="30" t="s">
        <v>608</v>
      </c>
      <c r="D62" s="31">
        <v>59</v>
      </c>
      <c r="E62" s="30">
        <v>7119</v>
      </c>
      <c r="F62" s="30" t="s">
        <v>701</v>
      </c>
      <c r="G62" s="30" t="s">
        <v>608</v>
      </c>
      <c r="H62" s="30" t="b">
        <f t="shared" si="0"/>
        <v>1</v>
      </c>
      <c r="I62" s="31">
        <v>59</v>
      </c>
      <c r="J62" s="30">
        <v>7119</v>
      </c>
      <c r="K62" s="30" t="s">
        <v>701</v>
      </c>
      <c r="L62" s="30" t="s">
        <v>608</v>
      </c>
      <c r="M62" s="30" t="b">
        <f t="shared" si="1"/>
        <v>1</v>
      </c>
      <c r="N62" s="31">
        <v>59</v>
      </c>
      <c r="T62" s="30">
        <v>7119</v>
      </c>
      <c r="U62" s="32" t="s">
        <v>701</v>
      </c>
      <c r="V62" s="30" t="s">
        <v>608</v>
      </c>
      <c r="W62" s="30" t="b">
        <f t="shared" si="3"/>
        <v>1</v>
      </c>
      <c r="X62" s="30">
        <v>59</v>
      </c>
      <c r="Y62" s="30">
        <v>7119</v>
      </c>
      <c r="Z62" s="32" t="s">
        <v>701</v>
      </c>
      <c r="AA62" s="30" t="s">
        <v>608</v>
      </c>
      <c r="AB62" s="30" t="b">
        <f t="shared" si="4"/>
        <v>1</v>
      </c>
      <c r="AC62" s="30">
        <v>59</v>
      </c>
      <c r="AD62" s="30">
        <v>7119</v>
      </c>
      <c r="AE62" s="32" t="s">
        <v>701</v>
      </c>
      <c r="AF62" s="30" t="s">
        <v>608</v>
      </c>
      <c r="AG62" s="30" t="b">
        <f t="shared" si="5"/>
        <v>1</v>
      </c>
      <c r="AH62" s="30">
        <v>59</v>
      </c>
      <c r="AI62" s="30">
        <v>7119</v>
      </c>
      <c r="AJ62" s="32" t="s">
        <v>701</v>
      </c>
      <c r="AK62" s="30" t="s">
        <v>608</v>
      </c>
      <c r="AL62" s="30" t="b">
        <f t="shared" si="6"/>
        <v>1</v>
      </c>
      <c r="AM62" s="30">
        <v>59</v>
      </c>
      <c r="AN62" s="30">
        <v>7119</v>
      </c>
      <c r="AO62" s="32" t="s">
        <v>701</v>
      </c>
      <c r="AP62" s="30" t="s">
        <v>608</v>
      </c>
      <c r="AQ62" s="30" t="b">
        <f t="shared" si="7"/>
        <v>1</v>
      </c>
      <c r="AR62" s="30">
        <v>59</v>
      </c>
      <c r="AS62" s="30">
        <v>7119</v>
      </c>
      <c r="AT62" s="30" t="s">
        <v>701</v>
      </c>
      <c r="AU62" s="30" t="s">
        <v>608</v>
      </c>
      <c r="AV62" s="30" t="b">
        <f t="shared" si="8"/>
        <v>1</v>
      </c>
      <c r="AW62" s="30">
        <v>59</v>
      </c>
      <c r="AX62" s="30">
        <v>7119</v>
      </c>
      <c r="AY62" s="32" t="s">
        <v>701</v>
      </c>
      <c r="AZ62" s="30" t="s">
        <v>608</v>
      </c>
      <c r="BA62" s="30" t="b">
        <f t="shared" si="9"/>
        <v>1</v>
      </c>
      <c r="BB62" s="30">
        <v>59</v>
      </c>
      <c r="BC62" s="30">
        <v>7119</v>
      </c>
      <c r="BD62" s="32" t="s">
        <v>701</v>
      </c>
      <c r="BE62" s="30" t="s">
        <v>608</v>
      </c>
      <c r="BF62" s="30" t="b">
        <f t="shared" si="10"/>
        <v>1</v>
      </c>
      <c r="BG62" s="30">
        <v>59</v>
      </c>
    </row>
    <row r="63" spans="1:59" x14ac:dyDescent="0.3">
      <c r="A63" s="1">
        <v>7121</v>
      </c>
      <c r="B63" s="16" t="s">
        <v>702</v>
      </c>
      <c r="C63" t="s">
        <v>609</v>
      </c>
      <c r="D63" s="1" t="b">
        <v>0</v>
      </c>
      <c r="E63">
        <v>7121</v>
      </c>
      <c r="F63" t="s">
        <v>702</v>
      </c>
      <c r="G63" t="s">
        <v>609</v>
      </c>
      <c r="H63" t="b">
        <f t="shared" si="0"/>
        <v>1</v>
      </c>
      <c r="I63" s="1" t="b">
        <v>0</v>
      </c>
      <c r="J63">
        <v>7121</v>
      </c>
      <c r="K63" t="s">
        <v>702</v>
      </c>
      <c r="L63" t="s">
        <v>609</v>
      </c>
      <c r="M63" t="b">
        <f t="shared" si="1"/>
        <v>1</v>
      </c>
      <c r="N63" s="1" t="b">
        <v>0</v>
      </c>
      <c r="T63">
        <v>7121</v>
      </c>
      <c r="U63" s="16" t="s">
        <v>702</v>
      </c>
      <c r="V63" t="s">
        <v>609</v>
      </c>
      <c r="W63" t="b">
        <f t="shared" si="3"/>
        <v>1</v>
      </c>
      <c r="X63" t="b">
        <v>0</v>
      </c>
      <c r="Y63">
        <v>7121</v>
      </c>
      <c r="Z63" s="16" t="s">
        <v>702</v>
      </c>
      <c r="AA63" t="s">
        <v>609</v>
      </c>
      <c r="AB63" t="b">
        <f t="shared" si="4"/>
        <v>1</v>
      </c>
      <c r="AC63" t="b">
        <v>0</v>
      </c>
      <c r="AD63">
        <v>7121</v>
      </c>
      <c r="AE63" s="16" t="s">
        <v>702</v>
      </c>
      <c r="AF63" t="s">
        <v>609</v>
      </c>
      <c r="AG63" t="b">
        <f t="shared" si="5"/>
        <v>1</v>
      </c>
      <c r="AH63" t="b">
        <v>0</v>
      </c>
      <c r="AI63">
        <v>7121</v>
      </c>
      <c r="AJ63" s="16" t="s">
        <v>702</v>
      </c>
      <c r="AK63" t="s">
        <v>609</v>
      </c>
      <c r="AL63" t="b">
        <f t="shared" si="6"/>
        <v>1</v>
      </c>
      <c r="AM63" t="b">
        <v>0</v>
      </c>
      <c r="AN63">
        <v>7121</v>
      </c>
      <c r="AO63" s="16" t="s">
        <v>702</v>
      </c>
      <c r="AP63" t="s">
        <v>609</v>
      </c>
      <c r="AQ63" t="b">
        <f t="shared" si="7"/>
        <v>1</v>
      </c>
      <c r="AR63" t="b">
        <v>0</v>
      </c>
      <c r="AS63">
        <v>7121</v>
      </c>
      <c r="AT63" t="s">
        <v>702</v>
      </c>
      <c r="AU63" t="s">
        <v>609</v>
      </c>
      <c r="AV63" t="b">
        <f t="shared" si="8"/>
        <v>1</v>
      </c>
      <c r="AW63" t="b">
        <v>0</v>
      </c>
      <c r="AX63">
        <v>7121</v>
      </c>
      <c r="AY63" s="16" t="s">
        <v>702</v>
      </c>
      <c r="AZ63" t="s">
        <v>609</v>
      </c>
      <c r="BA63" t="b">
        <f t="shared" si="9"/>
        <v>1</v>
      </c>
      <c r="BB63" t="b">
        <v>0</v>
      </c>
      <c r="BC63">
        <v>7121</v>
      </c>
      <c r="BD63" s="16" t="s">
        <v>702</v>
      </c>
      <c r="BE63" t="s">
        <v>609</v>
      </c>
      <c r="BF63" t="b">
        <f t="shared" si="10"/>
        <v>1</v>
      </c>
      <c r="BG63" t="b">
        <v>0</v>
      </c>
    </row>
    <row r="64" spans="1:59" x14ac:dyDescent="0.3">
      <c r="A64" s="1">
        <v>7123</v>
      </c>
      <c r="B64" s="16" t="s">
        <v>703</v>
      </c>
      <c r="C64" t="s">
        <v>610</v>
      </c>
      <c r="D64" s="1" t="b">
        <v>0</v>
      </c>
      <c r="E64">
        <v>7123</v>
      </c>
      <c r="F64" t="s">
        <v>703</v>
      </c>
      <c r="G64" t="s">
        <v>610</v>
      </c>
      <c r="H64" t="b">
        <f t="shared" si="0"/>
        <v>1</v>
      </c>
      <c r="I64" s="1" t="b">
        <v>0</v>
      </c>
      <c r="J64">
        <v>7123</v>
      </c>
      <c r="K64" t="s">
        <v>703</v>
      </c>
      <c r="L64" t="s">
        <v>610</v>
      </c>
      <c r="M64" t="b">
        <f t="shared" si="1"/>
        <v>1</v>
      </c>
      <c r="N64" s="1" t="b">
        <v>0</v>
      </c>
      <c r="T64">
        <v>7123</v>
      </c>
      <c r="U64" s="16" t="s">
        <v>703</v>
      </c>
      <c r="V64" t="s">
        <v>610</v>
      </c>
      <c r="W64" t="b">
        <f t="shared" si="3"/>
        <v>1</v>
      </c>
      <c r="X64" t="b">
        <v>0</v>
      </c>
      <c r="Y64">
        <v>7123</v>
      </c>
      <c r="Z64" s="16" t="s">
        <v>703</v>
      </c>
      <c r="AA64" t="s">
        <v>610</v>
      </c>
      <c r="AB64" t="b">
        <f t="shared" si="4"/>
        <v>1</v>
      </c>
      <c r="AC64" t="b">
        <v>0</v>
      </c>
      <c r="AD64">
        <v>7123</v>
      </c>
      <c r="AE64" s="16" t="s">
        <v>703</v>
      </c>
      <c r="AF64" t="s">
        <v>610</v>
      </c>
      <c r="AG64" t="b">
        <f t="shared" si="5"/>
        <v>1</v>
      </c>
      <c r="AH64" t="b">
        <v>0</v>
      </c>
      <c r="AI64">
        <v>7123</v>
      </c>
      <c r="AJ64" s="16" t="s">
        <v>703</v>
      </c>
      <c r="AK64" t="s">
        <v>610</v>
      </c>
      <c r="AL64" t="b">
        <f t="shared" si="6"/>
        <v>1</v>
      </c>
      <c r="AM64" t="b">
        <v>0</v>
      </c>
      <c r="AN64">
        <v>7123</v>
      </c>
      <c r="AO64" s="16" t="s">
        <v>703</v>
      </c>
      <c r="AP64" t="s">
        <v>610</v>
      </c>
      <c r="AQ64" t="b">
        <f t="shared" si="7"/>
        <v>1</v>
      </c>
      <c r="AR64" t="b">
        <v>0</v>
      </c>
      <c r="AS64">
        <v>7123</v>
      </c>
      <c r="AT64" t="s">
        <v>703</v>
      </c>
      <c r="AU64" t="s">
        <v>610</v>
      </c>
      <c r="AV64" t="b">
        <f t="shared" si="8"/>
        <v>1</v>
      </c>
      <c r="AW64" t="b">
        <v>0</v>
      </c>
      <c r="AX64">
        <v>7123</v>
      </c>
      <c r="AY64" s="16" t="s">
        <v>703</v>
      </c>
      <c r="AZ64" t="s">
        <v>610</v>
      </c>
      <c r="BA64" t="b">
        <f t="shared" si="9"/>
        <v>1</v>
      </c>
      <c r="BB64" t="b">
        <v>0</v>
      </c>
      <c r="BC64">
        <v>7123</v>
      </c>
      <c r="BD64" s="16" t="s">
        <v>703</v>
      </c>
      <c r="BE64" t="s">
        <v>610</v>
      </c>
      <c r="BF64" t="b">
        <f t="shared" si="10"/>
        <v>1</v>
      </c>
      <c r="BG64" t="b">
        <v>0</v>
      </c>
    </row>
    <row r="65" spans="1:59" x14ac:dyDescent="0.3">
      <c r="A65" s="1">
        <v>7125</v>
      </c>
      <c r="B65" s="16" t="s">
        <v>704</v>
      </c>
      <c r="C65" t="s">
        <v>611</v>
      </c>
      <c r="D65" s="1" t="b">
        <v>0</v>
      </c>
      <c r="E65">
        <v>7125</v>
      </c>
      <c r="F65" t="s">
        <v>704</v>
      </c>
      <c r="G65" t="s">
        <v>611</v>
      </c>
      <c r="H65" t="b">
        <f t="shared" si="0"/>
        <v>1</v>
      </c>
      <c r="I65" s="1" t="b">
        <v>0</v>
      </c>
      <c r="J65">
        <v>7125</v>
      </c>
      <c r="K65" t="s">
        <v>704</v>
      </c>
      <c r="L65" t="s">
        <v>611</v>
      </c>
      <c r="M65" t="b">
        <f t="shared" si="1"/>
        <v>1</v>
      </c>
      <c r="N65" s="1" t="b">
        <v>0</v>
      </c>
      <c r="T65">
        <v>7125</v>
      </c>
      <c r="U65" s="16" t="s">
        <v>704</v>
      </c>
      <c r="V65" t="s">
        <v>611</v>
      </c>
      <c r="W65" t="b">
        <f t="shared" si="3"/>
        <v>1</v>
      </c>
      <c r="X65" t="b">
        <v>0</v>
      </c>
      <c r="Y65">
        <v>7125</v>
      </c>
      <c r="Z65" s="16" t="s">
        <v>704</v>
      </c>
      <c r="AA65" t="s">
        <v>611</v>
      </c>
      <c r="AB65" t="b">
        <f t="shared" si="4"/>
        <v>1</v>
      </c>
      <c r="AC65" t="b">
        <v>0</v>
      </c>
      <c r="AD65">
        <v>7125</v>
      </c>
      <c r="AE65" s="16" t="s">
        <v>704</v>
      </c>
      <c r="AF65" t="s">
        <v>611</v>
      </c>
      <c r="AG65" t="b">
        <f t="shared" si="5"/>
        <v>1</v>
      </c>
      <c r="AH65" t="b">
        <v>0</v>
      </c>
      <c r="AI65">
        <v>7125</v>
      </c>
      <c r="AJ65" s="16" t="s">
        <v>704</v>
      </c>
      <c r="AK65" t="s">
        <v>611</v>
      </c>
      <c r="AL65" t="b">
        <f t="shared" si="6"/>
        <v>1</v>
      </c>
      <c r="AM65" t="b">
        <v>0</v>
      </c>
      <c r="AN65">
        <v>7125</v>
      </c>
      <c r="AO65" s="16" t="s">
        <v>704</v>
      </c>
      <c r="AP65" t="s">
        <v>611</v>
      </c>
      <c r="AQ65" t="b">
        <f t="shared" si="7"/>
        <v>1</v>
      </c>
      <c r="AR65" t="b">
        <v>0</v>
      </c>
      <c r="AS65">
        <v>7125</v>
      </c>
      <c r="AT65" t="s">
        <v>704</v>
      </c>
      <c r="AU65" t="s">
        <v>611</v>
      </c>
      <c r="AV65" t="b">
        <f t="shared" si="8"/>
        <v>1</v>
      </c>
      <c r="AW65" t="b">
        <v>0</v>
      </c>
      <c r="AX65">
        <v>7125</v>
      </c>
      <c r="AY65" s="16" t="s">
        <v>704</v>
      </c>
      <c r="AZ65" t="s">
        <v>611</v>
      </c>
      <c r="BA65" t="b">
        <f t="shared" si="9"/>
        <v>1</v>
      </c>
      <c r="BB65" t="b">
        <v>0</v>
      </c>
      <c r="BC65">
        <v>7125</v>
      </c>
      <c r="BD65" s="16" t="s">
        <v>704</v>
      </c>
      <c r="BE65" t="s">
        <v>611</v>
      </c>
      <c r="BF65" t="b">
        <f t="shared" si="10"/>
        <v>1</v>
      </c>
      <c r="BG65" t="b">
        <v>0</v>
      </c>
    </row>
    <row r="66" spans="1:59" s="30" customFormat="1" x14ac:dyDescent="0.3">
      <c r="A66" s="31">
        <v>7127</v>
      </c>
      <c r="B66" s="32" t="s">
        <v>705</v>
      </c>
      <c r="C66" s="30" t="s">
        <v>612</v>
      </c>
      <c r="D66" s="31">
        <v>63</v>
      </c>
      <c r="E66" s="30">
        <v>7127</v>
      </c>
      <c r="F66" s="30" t="s">
        <v>705</v>
      </c>
      <c r="G66" s="30" t="s">
        <v>612</v>
      </c>
      <c r="H66" s="30" t="b">
        <f t="shared" si="0"/>
        <v>1</v>
      </c>
      <c r="I66" s="31">
        <v>63</v>
      </c>
      <c r="J66" s="30">
        <v>7127</v>
      </c>
      <c r="K66" s="30" t="s">
        <v>705</v>
      </c>
      <c r="L66" s="30" t="s">
        <v>612</v>
      </c>
      <c r="M66" s="30" t="b">
        <f t="shared" si="1"/>
        <v>1</v>
      </c>
      <c r="N66" s="31">
        <v>63</v>
      </c>
      <c r="T66" s="30">
        <v>7127</v>
      </c>
      <c r="U66" s="32" t="s">
        <v>705</v>
      </c>
      <c r="V66" s="30" t="s">
        <v>612</v>
      </c>
      <c r="W66" s="30" t="b">
        <f t="shared" si="3"/>
        <v>1</v>
      </c>
      <c r="X66" s="30">
        <v>63</v>
      </c>
      <c r="Y66" s="30">
        <v>7127</v>
      </c>
      <c r="Z66" s="32" t="s">
        <v>705</v>
      </c>
      <c r="AA66" s="30" t="s">
        <v>612</v>
      </c>
      <c r="AB66" s="30" t="b">
        <f t="shared" si="4"/>
        <v>1</v>
      </c>
      <c r="AC66" s="30">
        <v>63</v>
      </c>
      <c r="AD66" s="30">
        <v>7127</v>
      </c>
      <c r="AE66" s="32" t="s">
        <v>705</v>
      </c>
      <c r="AF66" s="30" t="s">
        <v>612</v>
      </c>
      <c r="AG66" s="30" t="b">
        <f t="shared" si="5"/>
        <v>1</v>
      </c>
      <c r="AH66" s="30">
        <v>63</v>
      </c>
      <c r="AI66" s="30">
        <v>7127</v>
      </c>
      <c r="AJ66" s="32" t="s">
        <v>705</v>
      </c>
      <c r="AK66" s="30" t="s">
        <v>612</v>
      </c>
      <c r="AL66" s="30" t="b">
        <f t="shared" si="6"/>
        <v>1</v>
      </c>
      <c r="AM66" s="30">
        <v>63</v>
      </c>
      <c r="AN66" s="30">
        <v>7127</v>
      </c>
      <c r="AO66" s="32" t="s">
        <v>705</v>
      </c>
      <c r="AP66" s="30" t="s">
        <v>612</v>
      </c>
      <c r="AQ66" s="30" t="b">
        <f t="shared" si="7"/>
        <v>1</v>
      </c>
      <c r="AR66" s="30">
        <v>63</v>
      </c>
      <c r="AS66" s="30">
        <v>7127</v>
      </c>
      <c r="AT66" s="30" t="s">
        <v>705</v>
      </c>
      <c r="AU66" s="30" t="s">
        <v>612</v>
      </c>
      <c r="AV66" s="30" t="b">
        <f t="shared" si="8"/>
        <v>1</v>
      </c>
      <c r="AW66" s="30">
        <v>63</v>
      </c>
      <c r="AX66" s="30">
        <v>7127</v>
      </c>
      <c r="AY66" s="32" t="s">
        <v>705</v>
      </c>
      <c r="AZ66" s="30" t="s">
        <v>612</v>
      </c>
      <c r="BA66" s="30" t="b">
        <f t="shared" si="9"/>
        <v>1</v>
      </c>
      <c r="BB66" s="30">
        <v>63</v>
      </c>
      <c r="BC66" s="30">
        <v>7127</v>
      </c>
      <c r="BD66" s="32" t="s">
        <v>705</v>
      </c>
      <c r="BE66" s="30" t="s">
        <v>612</v>
      </c>
      <c r="BF66" s="30" t="b">
        <f t="shared" si="10"/>
        <v>1</v>
      </c>
      <c r="BG66" s="30">
        <v>63</v>
      </c>
    </row>
    <row r="67" spans="1:59" x14ac:dyDescent="0.3">
      <c r="A67" s="1">
        <v>7129</v>
      </c>
      <c r="B67" s="16" t="s">
        <v>706</v>
      </c>
      <c r="C67" t="s">
        <v>613</v>
      </c>
      <c r="D67" s="1" t="b">
        <v>0</v>
      </c>
      <c r="E67">
        <v>7129</v>
      </c>
      <c r="F67" t="s">
        <v>706</v>
      </c>
      <c r="G67" t="s">
        <v>613</v>
      </c>
      <c r="H67" t="b">
        <f t="shared" si="0"/>
        <v>1</v>
      </c>
      <c r="I67" s="1" t="b">
        <v>0</v>
      </c>
      <c r="J67">
        <v>7129</v>
      </c>
      <c r="K67" t="s">
        <v>706</v>
      </c>
      <c r="L67" t="s">
        <v>613</v>
      </c>
      <c r="M67" t="b">
        <f t="shared" si="1"/>
        <v>1</v>
      </c>
      <c r="N67" s="1" t="b">
        <v>0</v>
      </c>
      <c r="T67">
        <v>7129</v>
      </c>
      <c r="U67" s="16" t="s">
        <v>706</v>
      </c>
      <c r="V67" t="s">
        <v>613</v>
      </c>
      <c r="W67" t="b">
        <f t="shared" si="3"/>
        <v>1</v>
      </c>
      <c r="X67" t="b">
        <v>0</v>
      </c>
      <c r="Y67">
        <v>7129</v>
      </c>
      <c r="Z67" s="16" t="s">
        <v>706</v>
      </c>
      <c r="AA67" t="s">
        <v>613</v>
      </c>
      <c r="AB67" t="b">
        <f t="shared" si="4"/>
        <v>1</v>
      </c>
      <c r="AC67" t="b">
        <v>0</v>
      </c>
      <c r="AD67">
        <v>7129</v>
      </c>
      <c r="AE67" s="16" t="s">
        <v>706</v>
      </c>
      <c r="AF67" t="s">
        <v>613</v>
      </c>
      <c r="AG67" t="b">
        <f t="shared" si="5"/>
        <v>1</v>
      </c>
      <c r="AH67" t="b">
        <v>0</v>
      </c>
      <c r="AI67">
        <v>7129</v>
      </c>
      <c r="AJ67" s="16" t="s">
        <v>706</v>
      </c>
      <c r="AK67" t="s">
        <v>613</v>
      </c>
      <c r="AL67" t="b">
        <f t="shared" si="6"/>
        <v>1</v>
      </c>
      <c r="AM67" t="b">
        <v>0</v>
      </c>
      <c r="AN67">
        <v>7129</v>
      </c>
      <c r="AO67" s="16" t="s">
        <v>706</v>
      </c>
      <c r="AP67" t="s">
        <v>613</v>
      </c>
      <c r="AQ67" t="b">
        <f t="shared" si="7"/>
        <v>1</v>
      </c>
      <c r="AR67" t="b">
        <v>0</v>
      </c>
      <c r="AS67">
        <v>7129</v>
      </c>
      <c r="AT67" t="s">
        <v>706</v>
      </c>
      <c r="AU67" t="s">
        <v>613</v>
      </c>
      <c r="AV67" t="b">
        <f t="shared" si="8"/>
        <v>1</v>
      </c>
      <c r="AW67" t="b">
        <v>0</v>
      </c>
      <c r="AX67">
        <v>7129</v>
      </c>
      <c r="AY67" s="16" t="s">
        <v>706</v>
      </c>
      <c r="AZ67" t="s">
        <v>613</v>
      </c>
      <c r="BA67" t="b">
        <f t="shared" si="9"/>
        <v>1</v>
      </c>
      <c r="BB67" t="b">
        <v>0</v>
      </c>
      <c r="BC67">
        <v>7129</v>
      </c>
      <c r="BD67" s="16" t="s">
        <v>706</v>
      </c>
      <c r="BE67" t="s">
        <v>613</v>
      </c>
      <c r="BF67" t="b">
        <f t="shared" si="10"/>
        <v>1</v>
      </c>
      <c r="BG67" t="b">
        <v>0</v>
      </c>
    </row>
    <row r="68" spans="1:59" x14ac:dyDescent="0.3">
      <c r="A68" s="1">
        <v>7131</v>
      </c>
      <c r="B68" s="16" t="s">
        <v>707</v>
      </c>
      <c r="C68" t="s">
        <v>614</v>
      </c>
      <c r="D68" s="1" t="b">
        <v>0</v>
      </c>
      <c r="E68">
        <v>7131</v>
      </c>
      <c r="F68" t="s">
        <v>707</v>
      </c>
      <c r="G68" t="s">
        <v>614</v>
      </c>
      <c r="H68" t="b">
        <f t="shared" ref="H68:H96" si="11">F68=$B68</f>
        <v>1</v>
      </c>
      <c r="I68" s="1" t="b">
        <v>0</v>
      </c>
      <c r="J68">
        <v>7131</v>
      </c>
      <c r="K68" t="s">
        <v>707</v>
      </c>
      <c r="L68" t="s">
        <v>614</v>
      </c>
      <c r="M68" t="b">
        <f t="shared" ref="M68:M99" si="12">K68=$B68</f>
        <v>1</v>
      </c>
      <c r="N68" s="1" t="b">
        <v>0</v>
      </c>
      <c r="T68">
        <v>7131</v>
      </c>
      <c r="U68" s="16" t="s">
        <v>707</v>
      </c>
      <c r="V68" t="s">
        <v>614</v>
      </c>
      <c r="W68" t="b">
        <f t="shared" ref="W68:W99" si="13">U68=$B68</f>
        <v>1</v>
      </c>
      <c r="X68" t="b">
        <v>0</v>
      </c>
      <c r="Y68">
        <v>7131</v>
      </c>
      <c r="Z68" s="16" t="s">
        <v>707</v>
      </c>
      <c r="AA68" t="s">
        <v>614</v>
      </c>
      <c r="AB68" t="b">
        <f t="shared" ref="AB68:AB96" si="14">Z68=$B68</f>
        <v>1</v>
      </c>
      <c r="AC68" t="b">
        <v>0</v>
      </c>
      <c r="AD68">
        <v>7131</v>
      </c>
      <c r="AE68" s="16" t="s">
        <v>707</v>
      </c>
      <c r="AF68" t="s">
        <v>614</v>
      </c>
      <c r="AG68" t="b">
        <f t="shared" ref="AG68:AG96" si="15">AE68=$B68</f>
        <v>1</v>
      </c>
      <c r="AH68" t="b">
        <v>0</v>
      </c>
      <c r="AI68">
        <v>7131</v>
      </c>
      <c r="AJ68" s="16" t="s">
        <v>707</v>
      </c>
      <c r="AK68" t="s">
        <v>614</v>
      </c>
      <c r="AL68" t="b">
        <f t="shared" ref="AL68:AL96" si="16">AJ68=$B68</f>
        <v>1</v>
      </c>
      <c r="AM68" t="b">
        <v>0</v>
      </c>
      <c r="AN68">
        <v>7131</v>
      </c>
      <c r="AO68" s="16" t="s">
        <v>707</v>
      </c>
      <c r="AP68" t="s">
        <v>614</v>
      </c>
      <c r="AQ68" t="b">
        <f t="shared" ref="AQ68:AQ104" si="17">AO68=$B68</f>
        <v>1</v>
      </c>
      <c r="AR68" t="b">
        <v>0</v>
      </c>
      <c r="AS68">
        <v>7131</v>
      </c>
      <c r="AT68" t="s">
        <v>707</v>
      </c>
      <c r="AU68" t="s">
        <v>614</v>
      </c>
      <c r="AV68" t="b">
        <f t="shared" ref="AV68:AV96" si="18">AT68=$B68</f>
        <v>1</v>
      </c>
      <c r="AW68" t="b">
        <v>0</v>
      </c>
      <c r="AX68">
        <v>7131</v>
      </c>
      <c r="AY68" s="16" t="s">
        <v>707</v>
      </c>
      <c r="AZ68" t="s">
        <v>614</v>
      </c>
      <c r="BA68" t="b">
        <f t="shared" ref="BA68:BA96" si="19">AY68=$B68</f>
        <v>1</v>
      </c>
      <c r="BB68" t="b">
        <v>0</v>
      </c>
      <c r="BC68">
        <v>7131</v>
      </c>
      <c r="BD68" s="16" t="s">
        <v>707</v>
      </c>
      <c r="BE68" t="s">
        <v>614</v>
      </c>
      <c r="BF68" t="b">
        <f t="shared" ref="BF68:BF99" si="20">BD68=$B68</f>
        <v>1</v>
      </c>
      <c r="BG68" t="b">
        <v>0</v>
      </c>
    </row>
    <row r="69" spans="1:59" x14ac:dyDescent="0.3">
      <c r="A69" s="1">
        <v>7133</v>
      </c>
      <c r="B69" s="16" t="s">
        <v>708</v>
      </c>
      <c r="C69" t="s">
        <v>615</v>
      </c>
      <c r="D69" s="1" t="b">
        <v>0</v>
      </c>
      <c r="E69">
        <v>7133</v>
      </c>
      <c r="F69" t="s">
        <v>708</v>
      </c>
      <c r="G69" t="s">
        <v>615</v>
      </c>
      <c r="H69" t="b">
        <f t="shared" si="11"/>
        <v>1</v>
      </c>
      <c r="I69" s="1" t="b">
        <v>0</v>
      </c>
      <c r="J69">
        <v>7133</v>
      </c>
      <c r="K69" t="s">
        <v>708</v>
      </c>
      <c r="L69" t="s">
        <v>615</v>
      </c>
      <c r="M69" t="b">
        <f t="shared" si="12"/>
        <v>1</v>
      </c>
      <c r="N69" s="1" t="b">
        <v>0</v>
      </c>
      <c r="T69">
        <v>7133</v>
      </c>
      <c r="U69" s="16" t="s">
        <v>708</v>
      </c>
      <c r="V69" t="s">
        <v>615</v>
      </c>
      <c r="W69" t="b">
        <f t="shared" si="13"/>
        <v>1</v>
      </c>
      <c r="X69" t="b">
        <v>0</v>
      </c>
      <c r="Y69">
        <v>7133</v>
      </c>
      <c r="Z69" s="16" t="s">
        <v>708</v>
      </c>
      <c r="AA69" t="s">
        <v>615</v>
      </c>
      <c r="AB69" t="b">
        <f t="shared" si="14"/>
        <v>1</v>
      </c>
      <c r="AC69" t="b">
        <v>0</v>
      </c>
      <c r="AD69">
        <v>7133</v>
      </c>
      <c r="AE69" s="16" t="s">
        <v>708</v>
      </c>
      <c r="AF69" t="s">
        <v>615</v>
      </c>
      <c r="AG69" t="b">
        <f t="shared" si="15"/>
        <v>1</v>
      </c>
      <c r="AH69" t="b">
        <v>0</v>
      </c>
      <c r="AI69">
        <v>7133</v>
      </c>
      <c r="AJ69" s="16" t="s">
        <v>708</v>
      </c>
      <c r="AK69" t="s">
        <v>615</v>
      </c>
      <c r="AL69" t="b">
        <f t="shared" si="16"/>
        <v>1</v>
      </c>
      <c r="AM69" t="b">
        <v>0</v>
      </c>
      <c r="AN69">
        <v>7133</v>
      </c>
      <c r="AO69" s="16" t="s">
        <v>708</v>
      </c>
      <c r="AP69" t="s">
        <v>615</v>
      </c>
      <c r="AQ69" t="b">
        <f t="shared" si="17"/>
        <v>1</v>
      </c>
      <c r="AR69" t="b">
        <v>0</v>
      </c>
      <c r="AS69">
        <v>7133</v>
      </c>
      <c r="AT69" t="s">
        <v>708</v>
      </c>
      <c r="AU69" t="s">
        <v>615</v>
      </c>
      <c r="AV69" t="b">
        <f t="shared" si="18"/>
        <v>1</v>
      </c>
      <c r="AW69" t="b">
        <v>0</v>
      </c>
      <c r="AX69">
        <v>7133</v>
      </c>
      <c r="AY69" s="16" t="s">
        <v>708</v>
      </c>
      <c r="AZ69" t="s">
        <v>615</v>
      </c>
      <c r="BA69" t="b">
        <f t="shared" si="19"/>
        <v>1</v>
      </c>
      <c r="BB69" t="b">
        <v>0</v>
      </c>
      <c r="BC69">
        <v>7133</v>
      </c>
      <c r="BD69" s="16" t="s">
        <v>708</v>
      </c>
      <c r="BE69" t="s">
        <v>615</v>
      </c>
      <c r="BF69" t="b">
        <f t="shared" si="20"/>
        <v>1</v>
      </c>
      <c r="BG69" t="b">
        <v>0</v>
      </c>
    </row>
    <row r="70" spans="1:59" x14ac:dyDescent="0.3">
      <c r="A70" s="1">
        <v>7135</v>
      </c>
      <c r="B70" s="16" t="s">
        <v>709</v>
      </c>
      <c r="C70" t="s">
        <v>616</v>
      </c>
      <c r="D70" s="1" t="b">
        <v>0</v>
      </c>
      <c r="E70">
        <v>7135</v>
      </c>
      <c r="F70" t="s">
        <v>709</v>
      </c>
      <c r="G70" t="s">
        <v>616</v>
      </c>
      <c r="H70" t="b">
        <f t="shared" si="11"/>
        <v>1</v>
      </c>
      <c r="I70" s="1" t="b">
        <v>0</v>
      </c>
      <c r="J70">
        <v>7135</v>
      </c>
      <c r="K70" t="s">
        <v>709</v>
      </c>
      <c r="L70" t="s">
        <v>616</v>
      </c>
      <c r="M70" t="b">
        <f t="shared" si="12"/>
        <v>1</v>
      </c>
      <c r="N70" s="1" t="b">
        <v>0</v>
      </c>
      <c r="T70">
        <v>7135</v>
      </c>
      <c r="U70" s="16" t="s">
        <v>709</v>
      </c>
      <c r="V70" t="s">
        <v>616</v>
      </c>
      <c r="W70" t="b">
        <f t="shared" si="13"/>
        <v>1</v>
      </c>
      <c r="X70" t="b">
        <v>0</v>
      </c>
      <c r="Y70">
        <v>7135</v>
      </c>
      <c r="Z70" s="16" t="s">
        <v>709</v>
      </c>
      <c r="AA70" t="s">
        <v>616</v>
      </c>
      <c r="AB70" t="b">
        <f t="shared" si="14"/>
        <v>1</v>
      </c>
      <c r="AC70" t="b">
        <v>0</v>
      </c>
      <c r="AD70">
        <v>7135</v>
      </c>
      <c r="AE70" s="16" t="s">
        <v>709</v>
      </c>
      <c r="AF70" t="s">
        <v>616</v>
      </c>
      <c r="AG70" t="b">
        <f t="shared" si="15"/>
        <v>1</v>
      </c>
      <c r="AH70" t="b">
        <v>0</v>
      </c>
      <c r="AI70">
        <v>7135</v>
      </c>
      <c r="AJ70" s="16" t="s">
        <v>709</v>
      </c>
      <c r="AK70" t="s">
        <v>616</v>
      </c>
      <c r="AL70" t="b">
        <f t="shared" si="16"/>
        <v>1</v>
      </c>
      <c r="AM70" t="b">
        <v>0</v>
      </c>
      <c r="AN70">
        <v>7135</v>
      </c>
      <c r="AO70" s="16" t="s">
        <v>709</v>
      </c>
      <c r="AP70" t="s">
        <v>616</v>
      </c>
      <c r="AQ70" t="b">
        <f t="shared" si="17"/>
        <v>1</v>
      </c>
      <c r="AR70" t="b">
        <v>0</v>
      </c>
      <c r="AS70">
        <v>7135</v>
      </c>
      <c r="AT70" t="s">
        <v>709</v>
      </c>
      <c r="AU70" t="s">
        <v>616</v>
      </c>
      <c r="AV70" t="b">
        <f t="shared" si="18"/>
        <v>1</v>
      </c>
      <c r="AW70" t="b">
        <v>0</v>
      </c>
      <c r="AX70">
        <v>7135</v>
      </c>
      <c r="AY70" s="16" t="s">
        <v>709</v>
      </c>
      <c r="AZ70" t="s">
        <v>616</v>
      </c>
      <c r="BA70" t="b">
        <f t="shared" si="19"/>
        <v>1</v>
      </c>
      <c r="BB70" t="b">
        <v>0</v>
      </c>
      <c r="BC70">
        <v>7135</v>
      </c>
      <c r="BD70" s="16" t="s">
        <v>709</v>
      </c>
      <c r="BE70" t="s">
        <v>616</v>
      </c>
      <c r="BF70" t="b">
        <f t="shared" si="20"/>
        <v>1</v>
      </c>
      <c r="BG70" t="b">
        <v>0</v>
      </c>
    </row>
    <row r="71" spans="1:59" x14ac:dyDescent="0.3">
      <c r="A71" s="1">
        <v>7137</v>
      </c>
      <c r="B71" s="16" t="s">
        <v>710</v>
      </c>
      <c r="C71" t="s">
        <v>617</v>
      </c>
      <c r="D71" s="1" t="b">
        <v>0</v>
      </c>
      <c r="E71">
        <v>7137</v>
      </c>
      <c r="F71" t="s">
        <v>710</v>
      </c>
      <c r="G71" t="s">
        <v>617</v>
      </c>
      <c r="H71" t="b">
        <f t="shared" si="11"/>
        <v>1</v>
      </c>
      <c r="I71" s="1" t="b">
        <v>0</v>
      </c>
      <c r="J71">
        <v>7137</v>
      </c>
      <c r="K71" t="s">
        <v>710</v>
      </c>
      <c r="L71" t="s">
        <v>617</v>
      </c>
      <c r="M71" t="b">
        <f t="shared" si="12"/>
        <v>1</v>
      </c>
      <c r="N71" s="1" t="b">
        <v>0</v>
      </c>
      <c r="T71">
        <v>7137</v>
      </c>
      <c r="U71" s="16" t="s">
        <v>710</v>
      </c>
      <c r="V71" t="s">
        <v>617</v>
      </c>
      <c r="W71" t="b">
        <f t="shared" si="13"/>
        <v>1</v>
      </c>
      <c r="X71" t="b">
        <v>0</v>
      </c>
      <c r="Y71">
        <v>7137</v>
      </c>
      <c r="Z71" s="16" t="s">
        <v>710</v>
      </c>
      <c r="AA71" t="s">
        <v>617</v>
      </c>
      <c r="AB71" t="b">
        <f t="shared" si="14"/>
        <v>1</v>
      </c>
      <c r="AC71" t="b">
        <v>0</v>
      </c>
      <c r="AD71">
        <v>7137</v>
      </c>
      <c r="AE71" s="16" t="s">
        <v>710</v>
      </c>
      <c r="AF71" t="s">
        <v>617</v>
      </c>
      <c r="AG71" t="b">
        <f t="shared" si="15"/>
        <v>1</v>
      </c>
      <c r="AH71" t="b">
        <v>0</v>
      </c>
      <c r="AI71">
        <v>7137</v>
      </c>
      <c r="AJ71" s="16" t="s">
        <v>710</v>
      </c>
      <c r="AK71" t="s">
        <v>617</v>
      </c>
      <c r="AL71" t="b">
        <f t="shared" si="16"/>
        <v>1</v>
      </c>
      <c r="AM71" t="b">
        <v>0</v>
      </c>
      <c r="AN71">
        <v>7137</v>
      </c>
      <c r="AO71" s="16" t="s">
        <v>710</v>
      </c>
      <c r="AP71" t="s">
        <v>617</v>
      </c>
      <c r="AQ71" t="b">
        <f t="shared" si="17"/>
        <v>1</v>
      </c>
      <c r="AR71" t="b">
        <v>0</v>
      </c>
      <c r="AS71">
        <v>7137</v>
      </c>
      <c r="AT71" t="s">
        <v>710</v>
      </c>
      <c r="AU71" t="s">
        <v>617</v>
      </c>
      <c r="AV71" t="b">
        <f t="shared" si="18"/>
        <v>1</v>
      </c>
      <c r="AW71" t="b">
        <v>0</v>
      </c>
      <c r="AX71">
        <v>7137</v>
      </c>
      <c r="AY71" s="16" t="s">
        <v>710</v>
      </c>
      <c r="AZ71" t="s">
        <v>617</v>
      </c>
      <c r="BA71" t="b">
        <f t="shared" si="19"/>
        <v>1</v>
      </c>
      <c r="BB71" t="b">
        <v>0</v>
      </c>
      <c r="BC71">
        <v>7137</v>
      </c>
      <c r="BD71" s="16" t="s">
        <v>710</v>
      </c>
      <c r="BE71" t="s">
        <v>617</v>
      </c>
      <c r="BF71" t="b">
        <f t="shared" si="20"/>
        <v>1</v>
      </c>
      <c r="BG71" t="b">
        <v>0</v>
      </c>
    </row>
    <row r="72" spans="1:59" x14ac:dyDescent="0.3">
      <c r="A72" s="1">
        <v>7139</v>
      </c>
      <c r="B72" s="16" t="s">
        <v>711</v>
      </c>
      <c r="C72" t="s">
        <v>618</v>
      </c>
      <c r="D72" s="1" t="b">
        <v>0</v>
      </c>
      <c r="E72">
        <v>7139</v>
      </c>
      <c r="F72" t="s">
        <v>711</v>
      </c>
      <c r="G72" t="s">
        <v>618</v>
      </c>
      <c r="H72" t="b">
        <f t="shared" si="11"/>
        <v>1</v>
      </c>
      <c r="I72" s="1" t="b">
        <v>0</v>
      </c>
      <c r="J72">
        <v>7139</v>
      </c>
      <c r="K72" t="s">
        <v>711</v>
      </c>
      <c r="L72" t="s">
        <v>618</v>
      </c>
      <c r="M72" t="b">
        <f t="shared" si="12"/>
        <v>1</v>
      </c>
      <c r="N72" s="1" t="b">
        <v>0</v>
      </c>
      <c r="T72">
        <v>7139</v>
      </c>
      <c r="U72" s="16" t="s">
        <v>711</v>
      </c>
      <c r="V72" t="s">
        <v>618</v>
      </c>
      <c r="W72" t="b">
        <f t="shared" si="13"/>
        <v>1</v>
      </c>
      <c r="X72" t="b">
        <v>0</v>
      </c>
      <c r="Y72">
        <v>7139</v>
      </c>
      <c r="Z72" s="16" t="s">
        <v>711</v>
      </c>
      <c r="AA72" t="s">
        <v>618</v>
      </c>
      <c r="AB72" t="b">
        <f t="shared" si="14"/>
        <v>1</v>
      </c>
      <c r="AC72" t="b">
        <v>0</v>
      </c>
      <c r="AD72">
        <v>7139</v>
      </c>
      <c r="AE72" s="16" t="s">
        <v>711</v>
      </c>
      <c r="AF72" t="s">
        <v>618</v>
      </c>
      <c r="AG72" t="b">
        <f t="shared" si="15"/>
        <v>1</v>
      </c>
      <c r="AH72" t="b">
        <v>0</v>
      </c>
      <c r="AI72">
        <v>7139</v>
      </c>
      <c r="AJ72" s="16" t="s">
        <v>711</v>
      </c>
      <c r="AK72" t="s">
        <v>618</v>
      </c>
      <c r="AL72" t="b">
        <f t="shared" si="16"/>
        <v>1</v>
      </c>
      <c r="AM72" t="b">
        <v>0</v>
      </c>
      <c r="AN72">
        <v>7139</v>
      </c>
      <c r="AO72" s="16" t="s">
        <v>711</v>
      </c>
      <c r="AP72" t="s">
        <v>618</v>
      </c>
      <c r="AQ72" t="b">
        <f t="shared" si="17"/>
        <v>1</v>
      </c>
      <c r="AR72" t="b">
        <v>0</v>
      </c>
      <c r="AS72">
        <v>7139</v>
      </c>
      <c r="AT72" t="s">
        <v>711</v>
      </c>
      <c r="AU72" t="s">
        <v>618</v>
      </c>
      <c r="AV72" t="b">
        <f t="shared" si="18"/>
        <v>1</v>
      </c>
      <c r="AW72" t="b">
        <v>0</v>
      </c>
      <c r="AX72">
        <v>7139</v>
      </c>
      <c r="AY72" s="16" t="s">
        <v>711</v>
      </c>
      <c r="AZ72" t="s">
        <v>618</v>
      </c>
      <c r="BA72" t="b">
        <f t="shared" si="19"/>
        <v>1</v>
      </c>
      <c r="BB72" t="b">
        <v>0</v>
      </c>
      <c r="BC72">
        <v>7139</v>
      </c>
      <c r="BD72" s="16" t="s">
        <v>711</v>
      </c>
      <c r="BE72" t="s">
        <v>618</v>
      </c>
      <c r="BF72" t="b">
        <f t="shared" si="20"/>
        <v>1</v>
      </c>
      <c r="BG72" t="b">
        <v>0</v>
      </c>
    </row>
    <row r="73" spans="1:59" x14ac:dyDescent="0.3">
      <c r="A73" s="1">
        <v>7141</v>
      </c>
      <c r="B73" s="16" t="s">
        <v>712</v>
      </c>
      <c r="C73" t="s">
        <v>619</v>
      </c>
      <c r="D73" s="1" t="b">
        <v>0</v>
      </c>
      <c r="E73">
        <v>7141</v>
      </c>
      <c r="F73" t="s">
        <v>712</v>
      </c>
      <c r="G73" t="s">
        <v>619</v>
      </c>
      <c r="H73" t="b">
        <f t="shared" si="11"/>
        <v>1</v>
      </c>
      <c r="I73" s="1" t="b">
        <v>0</v>
      </c>
      <c r="J73">
        <v>7141</v>
      </c>
      <c r="K73" t="s">
        <v>712</v>
      </c>
      <c r="L73" t="s">
        <v>619</v>
      </c>
      <c r="M73" t="b">
        <f t="shared" si="12"/>
        <v>1</v>
      </c>
      <c r="N73" s="1" t="b">
        <v>0</v>
      </c>
      <c r="T73">
        <v>7141</v>
      </c>
      <c r="U73" s="16" t="s">
        <v>712</v>
      </c>
      <c r="V73" t="s">
        <v>619</v>
      </c>
      <c r="W73" t="b">
        <f t="shared" si="13"/>
        <v>1</v>
      </c>
      <c r="X73" t="b">
        <v>0</v>
      </c>
      <c r="Y73">
        <v>7141</v>
      </c>
      <c r="Z73" s="16" t="s">
        <v>712</v>
      </c>
      <c r="AA73" t="s">
        <v>619</v>
      </c>
      <c r="AB73" t="b">
        <f t="shared" si="14"/>
        <v>1</v>
      </c>
      <c r="AC73" t="b">
        <v>0</v>
      </c>
      <c r="AD73">
        <v>7141</v>
      </c>
      <c r="AE73" s="16" t="s">
        <v>712</v>
      </c>
      <c r="AF73" t="s">
        <v>619</v>
      </c>
      <c r="AG73" t="b">
        <f t="shared" si="15"/>
        <v>1</v>
      </c>
      <c r="AH73" t="b">
        <v>0</v>
      </c>
      <c r="AI73">
        <v>7141</v>
      </c>
      <c r="AJ73" s="16" t="s">
        <v>712</v>
      </c>
      <c r="AK73" t="s">
        <v>619</v>
      </c>
      <c r="AL73" t="b">
        <f t="shared" si="16"/>
        <v>1</v>
      </c>
      <c r="AM73" t="b">
        <v>0</v>
      </c>
      <c r="AN73">
        <v>7141</v>
      </c>
      <c r="AO73" s="16" t="s">
        <v>712</v>
      </c>
      <c r="AP73" t="s">
        <v>619</v>
      </c>
      <c r="AQ73" t="b">
        <f t="shared" si="17"/>
        <v>1</v>
      </c>
      <c r="AR73" t="b">
        <v>0</v>
      </c>
      <c r="AS73">
        <v>7141</v>
      </c>
      <c r="AT73" t="s">
        <v>712</v>
      </c>
      <c r="AU73" t="s">
        <v>619</v>
      </c>
      <c r="AV73" t="b">
        <f t="shared" si="18"/>
        <v>1</v>
      </c>
      <c r="AW73" t="b">
        <v>0</v>
      </c>
      <c r="AX73">
        <v>7141</v>
      </c>
      <c r="AY73" s="16" t="s">
        <v>712</v>
      </c>
      <c r="AZ73" t="s">
        <v>619</v>
      </c>
      <c r="BA73" t="b">
        <f t="shared" si="19"/>
        <v>1</v>
      </c>
      <c r="BB73" t="b">
        <v>0</v>
      </c>
      <c r="BC73">
        <v>7141</v>
      </c>
      <c r="BD73" s="16" t="s">
        <v>712</v>
      </c>
      <c r="BE73" t="s">
        <v>619</v>
      </c>
      <c r="BF73" t="b">
        <f t="shared" si="20"/>
        <v>1</v>
      </c>
      <c r="BG73" t="b">
        <v>0</v>
      </c>
    </row>
    <row r="74" spans="1:59" x14ac:dyDescent="0.3">
      <c r="A74" s="1">
        <v>7143</v>
      </c>
      <c r="B74" s="16" t="s">
        <v>713</v>
      </c>
      <c r="C74" t="s">
        <v>620</v>
      </c>
      <c r="D74" s="1" t="b">
        <v>0</v>
      </c>
      <c r="E74">
        <v>7143</v>
      </c>
      <c r="F74" t="s">
        <v>713</v>
      </c>
      <c r="G74" t="s">
        <v>620</v>
      </c>
      <c r="H74" t="b">
        <f t="shared" si="11"/>
        <v>1</v>
      </c>
      <c r="I74" s="1" t="b">
        <v>0</v>
      </c>
      <c r="J74">
        <v>7143</v>
      </c>
      <c r="K74" t="s">
        <v>713</v>
      </c>
      <c r="L74" t="s">
        <v>620</v>
      </c>
      <c r="M74" t="b">
        <f t="shared" si="12"/>
        <v>1</v>
      </c>
      <c r="N74" s="1" t="b">
        <v>0</v>
      </c>
      <c r="T74">
        <v>7143</v>
      </c>
      <c r="U74" s="16" t="s">
        <v>713</v>
      </c>
      <c r="V74" t="s">
        <v>620</v>
      </c>
      <c r="W74" t="b">
        <f t="shared" si="13"/>
        <v>1</v>
      </c>
      <c r="X74" t="b">
        <v>0</v>
      </c>
      <c r="Y74">
        <v>7143</v>
      </c>
      <c r="Z74" s="16" t="s">
        <v>713</v>
      </c>
      <c r="AA74" t="s">
        <v>620</v>
      </c>
      <c r="AB74" t="b">
        <f t="shared" si="14"/>
        <v>1</v>
      </c>
      <c r="AC74" t="b">
        <v>0</v>
      </c>
      <c r="AD74">
        <v>7143</v>
      </c>
      <c r="AE74" s="16" t="s">
        <v>713</v>
      </c>
      <c r="AF74" t="s">
        <v>620</v>
      </c>
      <c r="AG74" t="b">
        <f t="shared" si="15"/>
        <v>1</v>
      </c>
      <c r="AH74" t="b">
        <v>0</v>
      </c>
      <c r="AI74">
        <v>7143</v>
      </c>
      <c r="AJ74" s="16" t="s">
        <v>713</v>
      </c>
      <c r="AK74" t="s">
        <v>620</v>
      </c>
      <c r="AL74" t="b">
        <f t="shared" si="16"/>
        <v>1</v>
      </c>
      <c r="AM74" t="b">
        <v>0</v>
      </c>
      <c r="AN74">
        <v>7143</v>
      </c>
      <c r="AO74" s="16" t="s">
        <v>713</v>
      </c>
      <c r="AP74" t="s">
        <v>620</v>
      </c>
      <c r="AQ74" t="b">
        <f t="shared" si="17"/>
        <v>1</v>
      </c>
      <c r="AR74" t="b">
        <v>0</v>
      </c>
      <c r="AS74">
        <v>7143</v>
      </c>
      <c r="AT74" t="s">
        <v>713</v>
      </c>
      <c r="AU74" t="s">
        <v>620</v>
      </c>
      <c r="AV74" t="b">
        <f t="shared" si="18"/>
        <v>1</v>
      </c>
      <c r="AW74" t="b">
        <v>0</v>
      </c>
      <c r="AX74">
        <v>7143</v>
      </c>
      <c r="AY74" s="16" t="s">
        <v>713</v>
      </c>
      <c r="AZ74" t="s">
        <v>620</v>
      </c>
      <c r="BA74" t="b">
        <f t="shared" si="19"/>
        <v>1</v>
      </c>
      <c r="BB74" t="b">
        <v>0</v>
      </c>
      <c r="BC74">
        <v>7143</v>
      </c>
      <c r="BD74" s="16" t="s">
        <v>713</v>
      </c>
      <c r="BE74" t="s">
        <v>620</v>
      </c>
      <c r="BF74" t="b">
        <f t="shared" si="20"/>
        <v>1</v>
      </c>
      <c r="BG74" t="b">
        <v>0</v>
      </c>
    </row>
    <row r="75" spans="1:59" x14ac:dyDescent="0.3">
      <c r="A75" s="1">
        <v>7145</v>
      </c>
      <c r="B75" s="16" t="s">
        <v>714</v>
      </c>
      <c r="C75" t="s">
        <v>621</v>
      </c>
      <c r="D75" s="1" t="b">
        <v>0</v>
      </c>
      <c r="E75">
        <v>7145</v>
      </c>
      <c r="F75" t="s">
        <v>714</v>
      </c>
      <c r="G75" t="s">
        <v>621</v>
      </c>
      <c r="H75" t="b">
        <f t="shared" si="11"/>
        <v>1</v>
      </c>
      <c r="I75" s="1" t="b">
        <v>0</v>
      </c>
      <c r="J75">
        <v>7145</v>
      </c>
      <c r="K75" t="s">
        <v>714</v>
      </c>
      <c r="L75" t="s">
        <v>621</v>
      </c>
      <c r="M75" t="b">
        <f t="shared" si="12"/>
        <v>1</v>
      </c>
      <c r="N75" s="1" t="b">
        <v>0</v>
      </c>
      <c r="T75">
        <v>7145</v>
      </c>
      <c r="U75" s="16" t="s">
        <v>714</v>
      </c>
      <c r="V75" t="s">
        <v>621</v>
      </c>
      <c r="W75" t="b">
        <f t="shared" si="13"/>
        <v>1</v>
      </c>
      <c r="X75" t="b">
        <v>0</v>
      </c>
      <c r="Y75">
        <v>7145</v>
      </c>
      <c r="Z75" s="16" t="s">
        <v>714</v>
      </c>
      <c r="AA75" t="s">
        <v>621</v>
      </c>
      <c r="AB75" t="b">
        <f t="shared" si="14"/>
        <v>1</v>
      </c>
      <c r="AC75" t="b">
        <v>0</v>
      </c>
      <c r="AD75">
        <v>7145</v>
      </c>
      <c r="AE75" s="16" t="s">
        <v>714</v>
      </c>
      <c r="AF75" t="s">
        <v>621</v>
      </c>
      <c r="AG75" t="b">
        <f t="shared" si="15"/>
        <v>1</v>
      </c>
      <c r="AH75" t="b">
        <v>0</v>
      </c>
      <c r="AI75">
        <v>7145</v>
      </c>
      <c r="AJ75" s="16" t="s">
        <v>714</v>
      </c>
      <c r="AK75" t="s">
        <v>621</v>
      </c>
      <c r="AL75" t="b">
        <f t="shared" si="16"/>
        <v>1</v>
      </c>
      <c r="AM75" t="b">
        <v>0</v>
      </c>
      <c r="AN75">
        <v>7145</v>
      </c>
      <c r="AO75" s="16" t="s">
        <v>714</v>
      </c>
      <c r="AP75" t="s">
        <v>621</v>
      </c>
      <c r="AQ75" t="b">
        <f t="shared" si="17"/>
        <v>1</v>
      </c>
      <c r="AR75" t="b">
        <v>0</v>
      </c>
      <c r="AS75">
        <v>7145</v>
      </c>
      <c r="AT75" t="s">
        <v>714</v>
      </c>
      <c r="AU75" t="s">
        <v>621</v>
      </c>
      <c r="AV75" t="b">
        <f t="shared" si="18"/>
        <v>1</v>
      </c>
      <c r="AW75" t="b">
        <v>0</v>
      </c>
      <c r="AX75">
        <v>7145</v>
      </c>
      <c r="AY75" s="16" t="s">
        <v>714</v>
      </c>
      <c r="AZ75" t="s">
        <v>621</v>
      </c>
      <c r="BA75" t="b">
        <f t="shared" si="19"/>
        <v>1</v>
      </c>
      <c r="BB75" t="b">
        <v>0</v>
      </c>
      <c r="BC75">
        <v>7145</v>
      </c>
      <c r="BD75" s="16" t="s">
        <v>714</v>
      </c>
      <c r="BE75" t="s">
        <v>621</v>
      </c>
      <c r="BF75" t="b">
        <f t="shared" si="20"/>
        <v>1</v>
      </c>
      <c r="BG75" t="b">
        <v>0</v>
      </c>
    </row>
    <row r="76" spans="1:59" x14ac:dyDescent="0.3">
      <c r="A76" s="1">
        <v>7147</v>
      </c>
      <c r="B76" s="16" t="s">
        <v>715</v>
      </c>
      <c r="C76" t="s">
        <v>622</v>
      </c>
      <c r="D76" s="1" t="b">
        <v>0</v>
      </c>
      <c r="E76">
        <v>7147</v>
      </c>
      <c r="F76" t="s">
        <v>715</v>
      </c>
      <c r="G76" t="s">
        <v>622</v>
      </c>
      <c r="H76" t="b">
        <f t="shared" si="11"/>
        <v>1</v>
      </c>
      <c r="I76" s="1" t="b">
        <v>0</v>
      </c>
      <c r="J76">
        <v>7147</v>
      </c>
      <c r="K76" t="s">
        <v>715</v>
      </c>
      <c r="L76" t="s">
        <v>622</v>
      </c>
      <c r="M76" t="b">
        <f t="shared" si="12"/>
        <v>1</v>
      </c>
      <c r="N76" s="1" t="b">
        <v>0</v>
      </c>
      <c r="T76">
        <v>7147</v>
      </c>
      <c r="U76" s="16" t="s">
        <v>715</v>
      </c>
      <c r="V76" t="s">
        <v>622</v>
      </c>
      <c r="W76" t="b">
        <f t="shared" si="13"/>
        <v>1</v>
      </c>
      <c r="X76" t="b">
        <v>0</v>
      </c>
      <c r="Y76">
        <v>7147</v>
      </c>
      <c r="Z76" s="16" t="s">
        <v>715</v>
      </c>
      <c r="AA76" t="s">
        <v>622</v>
      </c>
      <c r="AB76" t="b">
        <f t="shared" si="14"/>
        <v>1</v>
      </c>
      <c r="AC76" t="b">
        <v>0</v>
      </c>
      <c r="AD76">
        <v>7147</v>
      </c>
      <c r="AE76" s="16" t="s">
        <v>715</v>
      </c>
      <c r="AF76" t="s">
        <v>622</v>
      </c>
      <c r="AG76" t="b">
        <f t="shared" si="15"/>
        <v>1</v>
      </c>
      <c r="AH76" t="b">
        <v>0</v>
      </c>
      <c r="AI76">
        <v>7147</v>
      </c>
      <c r="AJ76" s="16" t="s">
        <v>715</v>
      </c>
      <c r="AK76" t="s">
        <v>622</v>
      </c>
      <c r="AL76" t="b">
        <f t="shared" si="16"/>
        <v>1</v>
      </c>
      <c r="AM76" t="b">
        <v>0</v>
      </c>
      <c r="AN76">
        <v>7147</v>
      </c>
      <c r="AO76" s="16" t="s">
        <v>715</v>
      </c>
      <c r="AP76" t="s">
        <v>622</v>
      </c>
      <c r="AQ76" t="b">
        <f t="shared" si="17"/>
        <v>1</v>
      </c>
      <c r="AR76">
        <v>73</v>
      </c>
      <c r="AS76">
        <v>7147</v>
      </c>
      <c r="AT76" t="s">
        <v>715</v>
      </c>
      <c r="AU76" t="s">
        <v>622</v>
      </c>
      <c r="AV76" t="b">
        <f t="shared" si="18"/>
        <v>1</v>
      </c>
      <c r="AW76" t="b">
        <v>0</v>
      </c>
      <c r="AX76">
        <v>7147</v>
      </c>
      <c r="AY76" s="16" t="s">
        <v>715</v>
      </c>
      <c r="AZ76" t="s">
        <v>622</v>
      </c>
      <c r="BA76" t="b">
        <f t="shared" si="19"/>
        <v>1</v>
      </c>
      <c r="BB76" t="b">
        <v>0</v>
      </c>
      <c r="BC76">
        <v>7147</v>
      </c>
      <c r="BD76" s="16" t="s">
        <v>715</v>
      </c>
      <c r="BE76" t="s">
        <v>622</v>
      </c>
      <c r="BF76" t="b">
        <f t="shared" si="20"/>
        <v>1</v>
      </c>
      <c r="BG76" t="b">
        <v>0</v>
      </c>
    </row>
    <row r="77" spans="1:59" x14ac:dyDescent="0.3">
      <c r="A77" s="1">
        <v>7149</v>
      </c>
      <c r="B77" s="16" t="s">
        <v>716</v>
      </c>
      <c r="C77" t="s">
        <v>623</v>
      </c>
      <c r="D77" s="1" t="b">
        <v>0</v>
      </c>
      <c r="E77">
        <v>7149</v>
      </c>
      <c r="F77" t="s">
        <v>716</v>
      </c>
      <c r="G77" t="s">
        <v>623</v>
      </c>
      <c r="H77" t="b">
        <f t="shared" si="11"/>
        <v>1</v>
      </c>
      <c r="I77" s="1" t="b">
        <v>0</v>
      </c>
      <c r="J77">
        <v>7149</v>
      </c>
      <c r="K77" t="s">
        <v>716</v>
      </c>
      <c r="L77" t="s">
        <v>623</v>
      </c>
      <c r="M77" t="b">
        <f t="shared" si="12"/>
        <v>1</v>
      </c>
      <c r="N77" s="1" t="b">
        <v>0</v>
      </c>
      <c r="T77">
        <v>7149</v>
      </c>
      <c r="U77" s="16" t="s">
        <v>716</v>
      </c>
      <c r="V77" t="s">
        <v>623</v>
      </c>
      <c r="W77" t="b">
        <f t="shared" si="13"/>
        <v>1</v>
      </c>
      <c r="X77" t="b">
        <v>0</v>
      </c>
      <c r="Y77">
        <v>7149</v>
      </c>
      <c r="Z77" s="16" t="s">
        <v>716</v>
      </c>
      <c r="AA77" t="s">
        <v>623</v>
      </c>
      <c r="AB77" t="b">
        <f t="shared" si="14"/>
        <v>1</v>
      </c>
      <c r="AC77" t="b">
        <v>0</v>
      </c>
      <c r="AD77">
        <v>7149</v>
      </c>
      <c r="AE77" s="16" t="s">
        <v>716</v>
      </c>
      <c r="AF77" t="s">
        <v>623</v>
      </c>
      <c r="AG77" t="b">
        <f t="shared" si="15"/>
        <v>1</v>
      </c>
      <c r="AH77" t="b">
        <v>0</v>
      </c>
      <c r="AI77">
        <v>7149</v>
      </c>
      <c r="AJ77" s="16" t="s">
        <v>716</v>
      </c>
      <c r="AK77" t="s">
        <v>623</v>
      </c>
      <c r="AL77" t="b">
        <f t="shared" si="16"/>
        <v>1</v>
      </c>
      <c r="AM77" t="b">
        <v>0</v>
      </c>
      <c r="AN77">
        <v>7149</v>
      </c>
      <c r="AO77" s="16" t="s">
        <v>716</v>
      </c>
      <c r="AP77" t="s">
        <v>623</v>
      </c>
      <c r="AQ77" t="b">
        <f t="shared" si="17"/>
        <v>1</v>
      </c>
      <c r="AR77">
        <v>74</v>
      </c>
      <c r="AS77">
        <v>7149</v>
      </c>
      <c r="AT77" t="s">
        <v>716</v>
      </c>
      <c r="AU77" t="s">
        <v>623</v>
      </c>
      <c r="AV77" t="b">
        <f t="shared" si="18"/>
        <v>1</v>
      </c>
      <c r="AW77" t="b">
        <v>0</v>
      </c>
      <c r="AX77">
        <v>7149</v>
      </c>
      <c r="AY77" s="16" t="s">
        <v>716</v>
      </c>
      <c r="AZ77" t="s">
        <v>623</v>
      </c>
      <c r="BA77" t="b">
        <f t="shared" si="19"/>
        <v>1</v>
      </c>
      <c r="BB77" t="b">
        <v>0</v>
      </c>
      <c r="BC77">
        <v>7149</v>
      </c>
      <c r="BD77" s="16" t="s">
        <v>716</v>
      </c>
      <c r="BE77" t="s">
        <v>623</v>
      </c>
      <c r="BF77" t="b">
        <f t="shared" si="20"/>
        <v>1</v>
      </c>
      <c r="BG77" t="b">
        <v>0</v>
      </c>
    </row>
    <row r="78" spans="1:59" x14ac:dyDescent="0.3">
      <c r="A78" s="1">
        <v>7151</v>
      </c>
      <c r="B78" s="16" t="s">
        <v>717</v>
      </c>
      <c r="C78" t="s">
        <v>624</v>
      </c>
      <c r="D78" s="1" t="b">
        <v>0</v>
      </c>
      <c r="E78">
        <v>7151</v>
      </c>
      <c r="F78" t="s">
        <v>717</v>
      </c>
      <c r="G78" t="s">
        <v>624</v>
      </c>
      <c r="H78" t="b">
        <f t="shared" si="11"/>
        <v>1</v>
      </c>
      <c r="I78" s="1" t="b">
        <v>0</v>
      </c>
      <c r="J78">
        <v>7151</v>
      </c>
      <c r="K78" t="s">
        <v>717</v>
      </c>
      <c r="L78" t="s">
        <v>624</v>
      </c>
      <c r="M78" t="b">
        <f t="shared" si="12"/>
        <v>1</v>
      </c>
      <c r="N78" s="1" t="b">
        <v>0</v>
      </c>
      <c r="T78">
        <v>7151</v>
      </c>
      <c r="U78" s="16" t="s">
        <v>717</v>
      </c>
      <c r="V78" t="s">
        <v>624</v>
      </c>
      <c r="W78" t="b">
        <f t="shared" si="13"/>
        <v>1</v>
      </c>
      <c r="X78" t="b">
        <v>0</v>
      </c>
      <c r="Y78">
        <v>7151</v>
      </c>
      <c r="Z78" s="16" t="s">
        <v>717</v>
      </c>
      <c r="AA78" t="s">
        <v>624</v>
      </c>
      <c r="AB78" t="b">
        <f t="shared" si="14"/>
        <v>1</v>
      </c>
      <c r="AC78" t="b">
        <v>0</v>
      </c>
      <c r="AD78">
        <v>7151</v>
      </c>
      <c r="AE78" s="16" t="s">
        <v>717</v>
      </c>
      <c r="AF78" t="s">
        <v>624</v>
      </c>
      <c r="AG78" t="b">
        <f t="shared" si="15"/>
        <v>1</v>
      </c>
      <c r="AH78" t="b">
        <v>0</v>
      </c>
      <c r="AI78">
        <v>7151</v>
      </c>
      <c r="AJ78" s="16" t="s">
        <v>717</v>
      </c>
      <c r="AK78" t="s">
        <v>624</v>
      </c>
      <c r="AL78" t="b">
        <f t="shared" si="16"/>
        <v>1</v>
      </c>
      <c r="AM78" t="b">
        <v>0</v>
      </c>
      <c r="AN78">
        <v>7151</v>
      </c>
      <c r="AO78" s="16" t="s">
        <v>717</v>
      </c>
      <c r="AP78" t="s">
        <v>624</v>
      </c>
      <c r="AQ78" t="b">
        <f t="shared" si="17"/>
        <v>1</v>
      </c>
      <c r="AR78">
        <v>75</v>
      </c>
      <c r="AS78">
        <v>7151</v>
      </c>
      <c r="AT78" t="s">
        <v>717</v>
      </c>
      <c r="AU78" t="s">
        <v>624</v>
      </c>
      <c r="AV78" t="b">
        <f t="shared" si="18"/>
        <v>1</v>
      </c>
      <c r="AW78" t="b">
        <v>0</v>
      </c>
      <c r="AX78">
        <v>7151</v>
      </c>
      <c r="AY78" s="16" t="s">
        <v>717</v>
      </c>
      <c r="AZ78" t="s">
        <v>624</v>
      </c>
      <c r="BA78" t="b">
        <f t="shared" si="19"/>
        <v>1</v>
      </c>
      <c r="BB78" t="b">
        <v>0</v>
      </c>
      <c r="BC78">
        <v>7151</v>
      </c>
      <c r="BD78" s="16" t="s">
        <v>717</v>
      </c>
      <c r="BE78" t="s">
        <v>624</v>
      </c>
      <c r="BF78" t="b">
        <f t="shared" si="20"/>
        <v>1</v>
      </c>
      <c r="BG78" t="b">
        <v>0</v>
      </c>
    </row>
    <row r="79" spans="1:59" x14ac:dyDescent="0.3">
      <c r="A79" s="1">
        <v>7153</v>
      </c>
      <c r="B79" s="16" t="s">
        <v>718</v>
      </c>
      <c r="C79" t="s">
        <v>625</v>
      </c>
      <c r="D79" s="1" t="b">
        <v>0</v>
      </c>
      <c r="E79">
        <v>7153</v>
      </c>
      <c r="F79" t="s">
        <v>718</v>
      </c>
      <c r="G79" t="s">
        <v>625</v>
      </c>
      <c r="H79" t="b">
        <f t="shared" si="11"/>
        <v>1</v>
      </c>
      <c r="I79" s="1" t="b">
        <v>0</v>
      </c>
      <c r="J79">
        <v>7153</v>
      </c>
      <c r="K79" t="s">
        <v>718</v>
      </c>
      <c r="L79" t="s">
        <v>625</v>
      </c>
      <c r="M79" t="b">
        <f t="shared" si="12"/>
        <v>1</v>
      </c>
      <c r="N79" s="1" t="b">
        <v>0</v>
      </c>
      <c r="T79">
        <v>7153</v>
      </c>
      <c r="U79" s="16" t="s">
        <v>718</v>
      </c>
      <c r="V79" t="s">
        <v>625</v>
      </c>
      <c r="W79" t="b">
        <f t="shared" si="13"/>
        <v>1</v>
      </c>
      <c r="X79" t="b">
        <v>0</v>
      </c>
      <c r="Y79">
        <v>7153</v>
      </c>
      <c r="Z79" s="16" t="s">
        <v>718</v>
      </c>
      <c r="AA79" t="s">
        <v>625</v>
      </c>
      <c r="AB79" t="b">
        <f t="shared" si="14"/>
        <v>1</v>
      </c>
      <c r="AC79" t="b">
        <v>0</v>
      </c>
      <c r="AD79">
        <v>7153</v>
      </c>
      <c r="AE79" s="16" t="s">
        <v>718</v>
      </c>
      <c r="AF79" t="s">
        <v>625</v>
      </c>
      <c r="AG79" t="b">
        <f t="shared" si="15"/>
        <v>1</v>
      </c>
      <c r="AH79" t="b">
        <v>0</v>
      </c>
      <c r="AI79">
        <v>7153</v>
      </c>
      <c r="AJ79" s="16" t="s">
        <v>718</v>
      </c>
      <c r="AK79" t="s">
        <v>625</v>
      </c>
      <c r="AL79" t="b">
        <f t="shared" si="16"/>
        <v>1</v>
      </c>
      <c r="AM79" t="b">
        <v>0</v>
      </c>
      <c r="AN79">
        <v>7153</v>
      </c>
      <c r="AO79" s="16" t="s">
        <v>718</v>
      </c>
      <c r="AP79" t="s">
        <v>625</v>
      </c>
      <c r="AQ79" t="b">
        <f t="shared" si="17"/>
        <v>1</v>
      </c>
      <c r="AR79">
        <v>76</v>
      </c>
      <c r="AS79">
        <v>7153</v>
      </c>
      <c r="AT79" t="s">
        <v>718</v>
      </c>
      <c r="AU79" t="s">
        <v>625</v>
      </c>
      <c r="AV79" t="b">
        <f t="shared" si="18"/>
        <v>1</v>
      </c>
      <c r="AW79" t="b">
        <v>0</v>
      </c>
      <c r="AX79">
        <v>7153</v>
      </c>
      <c r="AY79" s="16" t="s">
        <v>718</v>
      </c>
      <c r="AZ79" t="s">
        <v>625</v>
      </c>
      <c r="BA79" t="b">
        <f t="shared" si="19"/>
        <v>1</v>
      </c>
      <c r="BB79" t="b">
        <v>0</v>
      </c>
      <c r="BC79">
        <v>7153</v>
      </c>
      <c r="BD79" s="16" t="s">
        <v>718</v>
      </c>
      <c r="BE79" t="s">
        <v>625</v>
      </c>
      <c r="BF79" t="b">
        <f t="shared" si="20"/>
        <v>1</v>
      </c>
      <c r="BG79" t="b">
        <v>0</v>
      </c>
    </row>
    <row r="80" spans="1:59" x14ac:dyDescent="0.3">
      <c r="A80" s="1">
        <v>7155</v>
      </c>
      <c r="B80" s="16" t="s">
        <v>719</v>
      </c>
      <c r="C80" t="s">
        <v>626</v>
      </c>
      <c r="D80" s="1" t="b">
        <v>0</v>
      </c>
      <c r="E80">
        <v>7155</v>
      </c>
      <c r="F80" t="s">
        <v>719</v>
      </c>
      <c r="G80" t="s">
        <v>626</v>
      </c>
      <c r="H80" t="b">
        <f t="shared" si="11"/>
        <v>1</v>
      </c>
      <c r="I80" s="1" t="b">
        <v>0</v>
      </c>
      <c r="J80">
        <v>7155</v>
      </c>
      <c r="K80" t="s">
        <v>719</v>
      </c>
      <c r="L80" t="s">
        <v>626</v>
      </c>
      <c r="M80" t="b">
        <f t="shared" si="12"/>
        <v>1</v>
      </c>
      <c r="N80" s="1" t="b">
        <v>0</v>
      </c>
      <c r="T80">
        <v>7155</v>
      </c>
      <c r="U80" s="16" t="s">
        <v>719</v>
      </c>
      <c r="V80" t="s">
        <v>626</v>
      </c>
      <c r="W80" t="b">
        <f t="shared" si="13"/>
        <v>1</v>
      </c>
      <c r="X80" t="b">
        <v>0</v>
      </c>
      <c r="Y80">
        <v>7155</v>
      </c>
      <c r="Z80" s="16" t="s">
        <v>719</v>
      </c>
      <c r="AA80" t="s">
        <v>626</v>
      </c>
      <c r="AB80" t="b">
        <f t="shared" si="14"/>
        <v>1</v>
      </c>
      <c r="AC80" t="b">
        <v>0</v>
      </c>
      <c r="AD80">
        <v>7155</v>
      </c>
      <c r="AE80" s="16" t="s">
        <v>719</v>
      </c>
      <c r="AF80" t="s">
        <v>626</v>
      </c>
      <c r="AG80" t="b">
        <f t="shared" si="15"/>
        <v>1</v>
      </c>
      <c r="AH80" t="b">
        <v>0</v>
      </c>
      <c r="AI80">
        <v>7155</v>
      </c>
      <c r="AJ80" s="16" t="s">
        <v>719</v>
      </c>
      <c r="AK80" t="s">
        <v>626</v>
      </c>
      <c r="AL80" t="b">
        <f t="shared" si="16"/>
        <v>1</v>
      </c>
      <c r="AM80" t="b">
        <v>0</v>
      </c>
      <c r="AN80">
        <v>7155</v>
      </c>
      <c r="AO80" s="16" t="s">
        <v>719</v>
      </c>
      <c r="AP80" t="s">
        <v>626</v>
      </c>
      <c r="AQ80" t="b">
        <f t="shared" si="17"/>
        <v>1</v>
      </c>
      <c r="AR80" t="b">
        <v>0</v>
      </c>
      <c r="AS80">
        <v>7155</v>
      </c>
      <c r="AT80" t="s">
        <v>719</v>
      </c>
      <c r="AU80" t="s">
        <v>626</v>
      </c>
      <c r="AV80" t="b">
        <f t="shared" si="18"/>
        <v>1</v>
      </c>
      <c r="AW80" t="b">
        <v>0</v>
      </c>
      <c r="AX80">
        <v>7155</v>
      </c>
      <c r="AY80" s="16" t="s">
        <v>719</v>
      </c>
      <c r="AZ80" t="s">
        <v>626</v>
      </c>
      <c r="BA80" t="b">
        <f t="shared" si="19"/>
        <v>1</v>
      </c>
      <c r="BB80" t="b">
        <v>0</v>
      </c>
      <c r="BC80">
        <v>7155</v>
      </c>
      <c r="BD80" s="16" t="s">
        <v>719</v>
      </c>
      <c r="BE80" t="s">
        <v>626</v>
      </c>
      <c r="BF80" t="b">
        <f t="shared" si="20"/>
        <v>1</v>
      </c>
      <c r="BG80" t="b">
        <v>0</v>
      </c>
    </row>
    <row r="81" spans="1:59" x14ac:dyDescent="0.3">
      <c r="A81" s="1">
        <v>7157</v>
      </c>
      <c r="B81" s="16" t="s">
        <v>720</v>
      </c>
      <c r="C81" t="s">
        <v>627</v>
      </c>
      <c r="D81" s="1" t="b">
        <v>0</v>
      </c>
      <c r="E81">
        <v>7157</v>
      </c>
      <c r="F81" t="s">
        <v>720</v>
      </c>
      <c r="G81" t="s">
        <v>627</v>
      </c>
      <c r="H81" t="b">
        <f t="shared" si="11"/>
        <v>1</v>
      </c>
      <c r="I81" s="1" t="b">
        <v>0</v>
      </c>
      <c r="J81">
        <v>7157</v>
      </c>
      <c r="K81" t="s">
        <v>720</v>
      </c>
      <c r="L81" t="s">
        <v>627</v>
      </c>
      <c r="M81" t="b">
        <f t="shared" si="12"/>
        <v>1</v>
      </c>
      <c r="N81" s="1" t="b">
        <v>0</v>
      </c>
      <c r="T81">
        <v>7157</v>
      </c>
      <c r="U81" s="16" t="s">
        <v>720</v>
      </c>
      <c r="V81" t="s">
        <v>627</v>
      </c>
      <c r="W81" t="b">
        <f t="shared" si="13"/>
        <v>1</v>
      </c>
      <c r="X81" t="b">
        <v>0</v>
      </c>
      <c r="Y81">
        <v>7157</v>
      </c>
      <c r="Z81" s="16" t="s">
        <v>720</v>
      </c>
      <c r="AA81" t="s">
        <v>627</v>
      </c>
      <c r="AB81" t="b">
        <f t="shared" si="14"/>
        <v>1</v>
      </c>
      <c r="AC81" t="b">
        <v>0</v>
      </c>
      <c r="AD81">
        <v>7157</v>
      </c>
      <c r="AE81" s="16" t="s">
        <v>720</v>
      </c>
      <c r="AF81" t="s">
        <v>627</v>
      </c>
      <c r="AG81" t="b">
        <f t="shared" si="15"/>
        <v>1</v>
      </c>
      <c r="AH81" t="b">
        <v>0</v>
      </c>
      <c r="AI81">
        <v>7157</v>
      </c>
      <c r="AJ81" s="16" t="s">
        <v>720</v>
      </c>
      <c r="AK81" t="s">
        <v>627</v>
      </c>
      <c r="AL81" t="b">
        <f t="shared" si="16"/>
        <v>1</v>
      </c>
      <c r="AM81" t="b">
        <v>0</v>
      </c>
      <c r="AN81">
        <v>7157</v>
      </c>
      <c r="AO81" s="16" t="s">
        <v>720</v>
      </c>
      <c r="AP81" t="s">
        <v>627</v>
      </c>
      <c r="AQ81" t="b">
        <f t="shared" si="17"/>
        <v>1</v>
      </c>
      <c r="AR81" t="b">
        <v>0</v>
      </c>
      <c r="AS81">
        <v>7157</v>
      </c>
      <c r="AT81" t="s">
        <v>720</v>
      </c>
      <c r="AU81" t="s">
        <v>627</v>
      </c>
      <c r="AV81" t="b">
        <f t="shared" si="18"/>
        <v>1</v>
      </c>
      <c r="AW81" t="b">
        <v>0</v>
      </c>
      <c r="AX81">
        <v>7157</v>
      </c>
      <c r="AY81" s="16" t="s">
        <v>720</v>
      </c>
      <c r="AZ81" t="s">
        <v>627</v>
      </c>
      <c r="BA81" t="b">
        <f t="shared" si="19"/>
        <v>1</v>
      </c>
      <c r="BB81" t="b">
        <v>0</v>
      </c>
      <c r="BC81">
        <v>7157</v>
      </c>
      <c r="BD81" s="16" t="s">
        <v>720</v>
      </c>
      <c r="BE81" t="s">
        <v>627</v>
      </c>
      <c r="BF81" t="b">
        <f t="shared" si="20"/>
        <v>1</v>
      </c>
      <c r="BG81" t="b">
        <v>0</v>
      </c>
    </row>
    <row r="82" spans="1:59" x14ac:dyDescent="0.3">
      <c r="A82" s="1">
        <v>7159</v>
      </c>
      <c r="B82" s="16" t="s">
        <v>721</v>
      </c>
      <c r="C82" t="s">
        <v>628</v>
      </c>
      <c r="D82" s="1" t="b">
        <v>0</v>
      </c>
      <c r="E82">
        <v>7159</v>
      </c>
      <c r="F82" t="s">
        <v>721</v>
      </c>
      <c r="G82" t="s">
        <v>628</v>
      </c>
      <c r="H82" t="b">
        <f t="shared" si="11"/>
        <v>1</v>
      </c>
      <c r="I82" s="1" t="b">
        <v>0</v>
      </c>
      <c r="J82">
        <v>7159</v>
      </c>
      <c r="K82" t="s">
        <v>721</v>
      </c>
      <c r="L82" t="s">
        <v>628</v>
      </c>
      <c r="M82" t="b">
        <f t="shared" si="12"/>
        <v>1</v>
      </c>
      <c r="N82" s="1" t="b">
        <v>0</v>
      </c>
      <c r="T82">
        <v>7159</v>
      </c>
      <c r="U82" s="16" t="s">
        <v>721</v>
      </c>
      <c r="V82" t="s">
        <v>628</v>
      </c>
      <c r="W82" t="b">
        <f t="shared" si="13"/>
        <v>1</v>
      </c>
      <c r="X82" t="b">
        <v>0</v>
      </c>
      <c r="Y82">
        <v>7159</v>
      </c>
      <c r="Z82" s="16" t="s">
        <v>721</v>
      </c>
      <c r="AA82" t="s">
        <v>628</v>
      </c>
      <c r="AB82" t="b">
        <f t="shared" si="14"/>
        <v>1</v>
      </c>
      <c r="AC82" t="b">
        <v>0</v>
      </c>
      <c r="AD82">
        <v>7159</v>
      </c>
      <c r="AE82" s="16" t="s">
        <v>721</v>
      </c>
      <c r="AF82" t="s">
        <v>628</v>
      </c>
      <c r="AG82" t="b">
        <f t="shared" si="15"/>
        <v>1</v>
      </c>
      <c r="AH82" t="b">
        <v>0</v>
      </c>
      <c r="AI82">
        <v>7159</v>
      </c>
      <c r="AJ82" s="16" t="s">
        <v>721</v>
      </c>
      <c r="AK82" t="s">
        <v>628</v>
      </c>
      <c r="AL82" t="b">
        <f t="shared" si="16"/>
        <v>1</v>
      </c>
      <c r="AM82" t="b">
        <v>0</v>
      </c>
      <c r="AN82">
        <v>7159</v>
      </c>
      <c r="AO82" s="16" t="s">
        <v>721</v>
      </c>
      <c r="AP82" t="s">
        <v>628</v>
      </c>
      <c r="AQ82" t="b">
        <f t="shared" si="17"/>
        <v>1</v>
      </c>
      <c r="AR82" t="b">
        <v>0</v>
      </c>
      <c r="AS82">
        <v>7159</v>
      </c>
      <c r="AT82" t="s">
        <v>721</v>
      </c>
      <c r="AU82" t="s">
        <v>628</v>
      </c>
      <c r="AV82" t="b">
        <f t="shared" si="18"/>
        <v>1</v>
      </c>
      <c r="AW82" t="b">
        <v>0</v>
      </c>
      <c r="AX82">
        <v>7159</v>
      </c>
      <c r="AY82" s="16" t="s">
        <v>721</v>
      </c>
      <c r="AZ82" t="s">
        <v>628</v>
      </c>
      <c r="BA82" t="b">
        <f t="shared" si="19"/>
        <v>1</v>
      </c>
      <c r="BB82" t="b">
        <v>0</v>
      </c>
      <c r="BC82">
        <v>7159</v>
      </c>
      <c r="BD82" s="16" t="s">
        <v>721</v>
      </c>
      <c r="BE82" t="s">
        <v>628</v>
      </c>
      <c r="BF82" t="b">
        <f t="shared" si="20"/>
        <v>1</v>
      </c>
      <c r="BG82" t="b">
        <v>0</v>
      </c>
    </row>
    <row r="83" spans="1:59" x14ac:dyDescent="0.3">
      <c r="A83" s="1">
        <v>7161</v>
      </c>
      <c r="B83" s="16" t="s">
        <v>722</v>
      </c>
      <c r="C83" t="s">
        <v>629</v>
      </c>
      <c r="D83" s="1" t="b">
        <v>0</v>
      </c>
      <c r="E83">
        <v>7161</v>
      </c>
      <c r="F83" t="s">
        <v>722</v>
      </c>
      <c r="G83" t="s">
        <v>629</v>
      </c>
      <c r="H83" t="b">
        <f t="shared" si="11"/>
        <v>1</v>
      </c>
      <c r="I83" s="1" t="b">
        <v>0</v>
      </c>
      <c r="J83">
        <v>7161</v>
      </c>
      <c r="K83" t="s">
        <v>722</v>
      </c>
      <c r="L83" t="s">
        <v>629</v>
      </c>
      <c r="M83" t="b">
        <f t="shared" si="12"/>
        <v>1</v>
      </c>
      <c r="N83" s="1" t="b">
        <v>0</v>
      </c>
      <c r="T83">
        <v>7161</v>
      </c>
      <c r="U83" s="16" t="s">
        <v>722</v>
      </c>
      <c r="V83" t="s">
        <v>629</v>
      </c>
      <c r="W83" t="b">
        <f t="shared" si="13"/>
        <v>1</v>
      </c>
      <c r="X83" t="b">
        <v>0</v>
      </c>
      <c r="Y83">
        <v>7161</v>
      </c>
      <c r="Z83" s="16" t="s">
        <v>722</v>
      </c>
      <c r="AA83" t="s">
        <v>629</v>
      </c>
      <c r="AB83" t="b">
        <f t="shared" si="14"/>
        <v>1</v>
      </c>
      <c r="AC83" t="b">
        <v>0</v>
      </c>
      <c r="AD83">
        <v>7161</v>
      </c>
      <c r="AE83" s="16" t="s">
        <v>722</v>
      </c>
      <c r="AF83" t="s">
        <v>629</v>
      </c>
      <c r="AG83" t="b">
        <f t="shared" si="15"/>
        <v>1</v>
      </c>
      <c r="AH83" t="b">
        <v>0</v>
      </c>
      <c r="AI83">
        <v>7161</v>
      </c>
      <c r="AJ83" s="16" t="s">
        <v>722</v>
      </c>
      <c r="AK83" t="s">
        <v>629</v>
      </c>
      <c r="AL83" t="b">
        <f t="shared" si="16"/>
        <v>1</v>
      </c>
      <c r="AM83" t="b">
        <v>0</v>
      </c>
      <c r="AN83">
        <v>7161</v>
      </c>
      <c r="AO83" s="16" t="s">
        <v>722</v>
      </c>
      <c r="AP83" t="s">
        <v>629</v>
      </c>
      <c r="AQ83" t="b">
        <f t="shared" si="17"/>
        <v>1</v>
      </c>
      <c r="AR83" t="b">
        <v>0</v>
      </c>
      <c r="AS83">
        <v>7161</v>
      </c>
      <c r="AT83" t="s">
        <v>722</v>
      </c>
      <c r="AU83" t="s">
        <v>629</v>
      </c>
      <c r="AV83" t="b">
        <f t="shared" si="18"/>
        <v>1</v>
      </c>
      <c r="AW83" t="b">
        <v>0</v>
      </c>
      <c r="AX83">
        <v>7161</v>
      </c>
      <c r="AY83" s="16" t="s">
        <v>722</v>
      </c>
      <c r="AZ83" t="s">
        <v>629</v>
      </c>
      <c r="BA83" t="b">
        <f t="shared" si="19"/>
        <v>1</v>
      </c>
      <c r="BB83" t="b">
        <v>0</v>
      </c>
      <c r="BC83">
        <v>7161</v>
      </c>
      <c r="BD83" s="16" t="s">
        <v>722</v>
      </c>
      <c r="BE83" t="s">
        <v>629</v>
      </c>
      <c r="BF83" t="b">
        <f t="shared" si="20"/>
        <v>1</v>
      </c>
      <c r="BG83" t="b">
        <v>0</v>
      </c>
    </row>
    <row r="84" spans="1:59" x14ac:dyDescent="0.3">
      <c r="A84" s="1">
        <v>7163</v>
      </c>
      <c r="B84" s="16" t="s">
        <v>723</v>
      </c>
      <c r="C84" t="s">
        <v>630</v>
      </c>
      <c r="D84" s="1" t="b">
        <v>0</v>
      </c>
      <c r="E84">
        <v>7163</v>
      </c>
      <c r="F84" t="s">
        <v>723</v>
      </c>
      <c r="G84" t="s">
        <v>630</v>
      </c>
      <c r="H84" t="b">
        <f t="shared" si="11"/>
        <v>1</v>
      </c>
      <c r="I84" s="1" t="b">
        <v>0</v>
      </c>
      <c r="J84">
        <v>7163</v>
      </c>
      <c r="K84" t="s">
        <v>723</v>
      </c>
      <c r="L84" t="s">
        <v>630</v>
      </c>
      <c r="M84" t="b">
        <f t="shared" si="12"/>
        <v>1</v>
      </c>
      <c r="N84" s="1" t="b">
        <v>0</v>
      </c>
      <c r="T84">
        <v>7163</v>
      </c>
      <c r="U84" s="16" t="s">
        <v>723</v>
      </c>
      <c r="V84" t="s">
        <v>630</v>
      </c>
      <c r="W84" t="b">
        <f t="shared" si="13"/>
        <v>1</v>
      </c>
      <c r="X84" t="b">
        <v>0</v>
      </c>
      <c r="Y84">
        <v>7163</v>
      </c>
      <c r="Z84" s="16" t="s">
        <v>723</v>
      </c>
      <c r="AA84" t="s">
        <v>630</v>
      </c>
      <c r="AB84" t="b">
        <f t="shared" si="14"/>
        <v>1</v>
      </c>
      <c r="AC84" t="b">
        <v>0</v>
      </c>
      <c r="AD84">
        <v>7163</v>
      </c>
      <c r="AE84" s="16" t="s">
        <v>723</v>
      </c>
      <c r="AF84" t="s">
        <v>630</v>
      </c>
      <c r="AG84" t="b">
        <f t="shared" si="15"/>
        <v>1</v>
      </c>
      <c r="AH84" t="b">
        <v>0</v>
      </c>
      <c r="AI84">
        <v>7163</v>
      </c>
      <c r="AJ84" s="16" t="s">
        <v>723</v>
      </c>
      <c r="AK84" t="s">
        <v>630</v>
      </c>
      <c r="AL84" t="b">
        <f t="shared" si="16"/>
        <v>1</v>
      </c>
      <c r="AM84" t="b">
        <v>0</v>
      </c>
      <c r="AN84">
        <v>7163</v>
      </c>
      <c r="AO84" s="16" t="s">
        <v>723</v>
      </c>
      <c r="AP84" t="s">
        <v>630</v>
      </c>
      <c r="AQ84" t="b">
        <f t="shared" si="17"/>
        <v>1</v>
      </c>
      <c r="AR84" t="b">
        <v>0</v>
      </c>
      <c r="AS84">
        <v>7163</v>
      </c>
      <c r="AT84" t="s">
        <v>723</v>
      </c>
      <c r="AU84" t="s">
        <v>630</v>
      </c>
      <c r="AV84" t="b">
        <f t="shared" si="18"/>
        <v>1</v>
      </c>
      <c r="AW84" t="b">
        <v>0</v>
      </c>
      <c r="AX84">
        <v>7163</v>
      </c>
      <c r="AY84" s="16" t="s">
        <v>723</v>
      </c>
      <c r="AZ84" t="s">
        <v>630</v>
      </c>
      <c r="BA84" t="b">
        <f t="shared" si="19"/>
        <v>1</v>
      </c>
      <c r="BB84" t="b">
        <v>0</v>
      </c>
      <c r="BC84">
        <v>7163</v>
      </c>
      <c r="BD84" s="16" t="s">
        <v>723</v>
      </c>
      <c r="BE84" t="s">
        <v>630</v>
      </c>
      <c r="BF84" t="b">
        <f t="shared" si="20"/>
        <v>1</v>
      </c>
      <c r="BG84" t="b">
        <v>0</v>
      </c>
    </row>
    <row r="85" spans="1:59" x14ac:dyDescent="0.3">
      <c r="A85" s="1">
        <v>7165</v>
      </c>
      <c r="B85" s="16" t="s">
        <v>724</v>
      </c>
      <c r="C85" t="s">
        <v>631</v>
      </c>
      <c r="D85" s="1" t="b">
        <v>0</v>
      </c>
      <c r="E85">
        <v>7165</v>
      </c>
      <c r="F85" t="s">
        <v>724</v>
      </c>
      <c r="G85" t="s">
        <v>631</v>
      </c>
      <c r="H85" t="b">
        <f t="shared" si="11"/>
        <v>1</v>
      </c>
      <c r="I85" s="1" t="b">
        <v>0</v>
      </c>
      <c r="J85">
        <v>7165</v>
      </c>
      <c r="K85" t="s">
        <v>724</v>
      </c>
      <c r="L85" t="s">
        <v>631</v>
      </c>
      <c r="M85" t="b">
        <f t="shared" si="12"/>
        <v>1</v>
      </c>
      <c r="N85" s="1" t="b">
        <v>0</v>
      </c>
      <c r="T85">
        <v>7165</v>
      </c>
      <c r="U85" s="16" t="s">
        <v>724</v>
      </c>
      <c r="V85" t="s">
        <v>631</v>
      </c>
      <c r="W85" t="b">
        <f t="shared" si="13"/>
        <v>1</v>
      </c>
      <c r="X85" t="b">
        <v>0</v>
      </c>
      <c r="Y85">
        <v>7165</v>
      </c>
      <c r="Z85" s="16" t="s">
        <v>724</v>
      </c>
      <c r="AA85" t="s">
        <v>631</v>
      </c>
      <c r="AB85" t="b">
        <f t="shared" si="14"/>
        <v>1</v>
      </c>
      <c r="AC85" t="b">
        <v>0</v>
      </c>
      <c r="AD85">
        <v>7165</v>
      </c>
      <c r="AE85" s="16" t="s">
        <v>724</v>
      </c>
      <c r="AF85" t="s">
        <v>631</v>
      </c>
      <c r="AG85" t="b">
        <f t="shared" si="15"/>
        <v>1</v>
      </c>
      <c r="AH85" t="b">
        <v>0</v>
      </c>
      <c r="AI85">
        <v>7165</v>
      </c>
      <c r="AJ85" s="16" t="s">
        <v>724</v>
      </c>
      <c r="AK85" t="s">
        <v>631</v>
      </c>
      <c r="AL85" t="b">
        <f t="shared" si="16"/>
        <v>1</v>
      </c>
      <c r="AM85" t="b">
        <v>0</v>
      </c>
      <c r="AN85">
        <v>7165</v>
      </c>
      <c r="AO85" s="16" t="s">
        <v>724</v>
      </c>
      <c r="AP85" t="s">
        <v>631</v>
      </c>
      <c r="AQ85" t="b">
        <f t="shared" si="17"/>
        <v>1</v>
      </c>
      <c r="AR85" t="b">
        <v>0</v>
      </c>
      <c r="AS85">
        <v>7165</v>
      </c>
      <c r="AT85" t="s">
        <v>724</v>
      </c>
      <c r="AU85" t="s">
        <v>631</v>
      </c>
      <c r="AV85" t="b">
        <f t="shared" si="18"/>
        <v>1</v>
      </c>
      <c r="AW85" t="b">
        <v>0</v>
      </c>
      <c r="AX85">
        <v>7165</v>
      </c>
      <c r="AY85" s="16" t="s">
        <v>724</v>
      </c>
      <c r="AZ85" t="s">
        <v>631</v>
      </c>
      <c r="BA85" t="b">
        <f t="shared" si="19"/>
        <v>1</v>
      </c>
      <c r="BB85" t="b">
        <v>0</v>
      </c>
      <c r="BC85">
        <v>7165</v>
      </c>
      <c r="BD85" s="16" t="s">
        <v>724</v>
      </c>
      <c r="BE85" t="s">
        <v>631</v>
      </c>
      <c r="BF85" t="b">
        <f t="shared" si="20"/>
        <v>1</v>
      </c>
      <c r="BG85" t="b">
        <v>0</v>
      </c>
    </row>
    <row r="86" spans="1:59" x14ac:dyDescent="0.3">
      <c r="A86" s="1">
        <v>7167</v>
      </c>
      <c r="B86" s="16" t="s">
        <v>675</v>
      </c>
      <c r="C86" t="s">
        <v>917</v>
      </c>
      <c r="D86" s="1" t="b">
        <v>0</v>
      </c>
      <c r="E86">
        <v>7167</v>
      </c>
      <c r="F86" t="s">
        <v>675</v>
      </c>
      <c r="G86" t="s">
        <v>917</v>
      </c>
      <c r="H86" t="b">
        <f t="shared" si="11"/>
        <v>1</v>
      </c>
      <c r="I86" s="1" t="b">
        <v>0</v>
      </c>
      <c r="J86">
        <v>7167</v>
      </c>
      <c r="K86" t="s">
        <v>725</v>
      </c>
      <c r="L86" t="s">
        <v>632</v>
      </c>
      <c r="M86" t="b">
        <f>K86=$B86</f>
        <v>0</v>
      </c>
      <c r="N86" s="1" t="b">
        <v>0</v>
      </c>
      <c r="T86">
        <v>7167</v>
      </c>
      <c r="U86" s="16" t="s">
        <v>675</v>
      </c>
      <c r="V86" t="s">
        <v>917</v>
      </c>
      <c r="W86" t="b">
        <f t="shared" si="13"/>
        <v>1</v>
      </c>
      <c r="X86" t="b">
        <v>0</v>
      </c>
      <c r="Y86">
        <v>7167</v>
      </c>
      <c r="Z86" s="16" t="s">
        <v>675</v>
      </c>
      <c r="AA86" t="s">
        <v>917</v>
      </c>
      <c r="AB86" t="b">
        <f t="shared" si="14"/>
        <v>1</v>
      </c>
      <c r="AC86" t="b">
        <v>0</v>
      </c>
      <c r="AD86">
        <v>7167</v>
      </c>
      <c r="AE86" s="16" t="s">
        <v>675</v>
      </c>
      <c r="AF86" t="s">
        <v>917</v>
      </c>
      <c r="AG86" t="b">
        <f t="shared" si="15"/>
        <v>1</v>
      </c>
      <c r="AH86" t="b">
        <v>0</v>
      </c>
      <c r="AI86">
        <v>7167</v>
      </c>
      <c r="AJ86" s="16" t="s">
        <v>675</v>
      </c>
      <c r="AK86" t="s">
        <v>917</v>
      </c>
      <c r="AL86" t="b">
        <f t="shared" si="16"/>
        <v>1</v>
      </c>
      <c r="AM86" t="b">
        <v>0</v>
      </c>
      <c r="AN86">
        <v>7167</v>
      </c>
      <c r="AO86" s="16" t="s">
        <v>675</v>
      </c>
      <c r="AP86" t="s">
        <v>917</v>
      </c>
      <c r="AQ86" t="b">
        <f t="shared" si="17"/>
        <v>1</v>
      </c>
      <c r="AR86" t="b">
        <v>0</v>
      </c>
      <c r="AS86">
        <v>7167</v>
      </c>
      <c r="AT86" t="s">
        <v>675</v>
      </c>
      <c r="AU86" t="s">
        <v>917</v>
      </c>
      <c r="AV86" t="b">
        <f t="shared" si="18"/>
        <v>1</v>
      </c>
      <c r="AW86" t="b">
        <v>0</v>
      </c>
      <c r="AX86">
        <v>7167</v>
      </c>
      <c r="AY86" s="16" t="s">
        <v>675</v>
      </c>
      <c r="AZ86" t="s">
        <v>917</v>
      </c>
      <c r="BA86" t="b">
        <f t="shared" si="19"/>
        <v>1</v>
      </c>
      <c r="BB86" t="b">
        <v>0</v>
      </c>
      <c r="BC86">
        <v>7167</v>
      </c>
      <c r="BD86" s="16" t="s">
        <v>725</v>
      </c>
      <c r="BE86" t="s">
        <v>632</v>
      </c>
      <c r="BF86" t="b">
        <f t="shared" si="20"/>
        <v>0</v>
      </c>
      <c r="BG86" t="b">
        <v>0</v>
      </c>
    </row>
    <row r="87" spans="1:59" x14ac:dyDescent="0.3">
      <c r="A87" s="1">
        <v>7169</v>
      </c>
      <c r="B87" s="16" t="s">
        <v>726</v>
      </c>
      <c r="C87" t="s">
        <v>633</v>
      </c>
      <c r="D87" s="1" t="b">
        <v>0</v>
      </c>
      <c r="E87">
        <v>7169</v>
      </c>
      <c r="F87" t="s">
        <v>726</v>
      </c>
      <c r="G87" t="s">
        <v>633</v>
      </c>
      <c r="H87" t="b">
        <f t="shared" si="11"/>
        <v>1</v>
      </c>
      <c r="I87" s="1" t="b">
        <v>0</v>
      </c>
      <c r="J87">
        <v>7169</v>
      </c>
      <c r="K87" t="s">
        <v>726</v>
      </c>
      <c r="L87" t="s">
        <v>633</v>
      </c>
      <c r="M87" t="b">
        <f t="shared" si="12"/>
        <v>1</v>
      </c>
      <c r="N87" s="1" t="b">
        <v>0</v>
      </c>
      <c r="T87">
        <v>7169</v>
      </c>
      <c r="U87" s="16" t="s">
        <v>726</v>
      </c>
      <c r="V87" t="s">
        <v>633</v>
      </c>
      <c r="W87" t="b">
        <f t="shared" si="13"/>
        <v>1</v>
      </c>
      <c r="X87" t="b">
        <v>0</v>
      </c>
      <c r="Y87">
        <v>7169</v>
      </c>
      <c r="Z87" s="16" t="s">
        <v>726</v>
      </c>
      <c r="AA87" t="s">
        <v>633</v>
      </c>
      <c r="AB87" t="b">
        <f t="shared" si="14"/>
        <v>1</v>
      </c>
      <c r="AC87" t="b">
        <v>0</v>
      </c>
      <c r="AD87">
        <v>7169</v>
      </c>
      <c r="AE87" s="16" t="s">
        <v>726</v>
      </c>
      <c r="AF87" t="s">
        <v>633</v>
      </c>
      <c r="AG87" t="b">
        <f t="shared" si="15"/>
        <v>1</v>
      </c>
      <c r="AH87" t="b">
        <v>0</v>
      </c>
      <c r="AI87">
        <v>7169</v>
      </c>
      <c r="AJ87" s="16" t="s">
        <v>726</v>
      </c>
      <c r="AK87" t="s">
        <v>633</v>
      </c>
      <c r="AL87" t="b">
        <f t="shared" si="16"/>
        <v>1</v>
      </c>
      <c r="AM87" t="b">
        <v>0</v>
      </c>
      <c r="AN87">
        <v>7169</v>
      </c>
      <c r="AO87" s="16" t="s">
        <v>726</v>
      </c>
      <c r="AP87" t="s">
        <v>633</v>
      </c>
      <c r="AQ87" t="b">
        <f t="shared" si="17"/>
        <v>1</v>
      </c>
      <c r="AR87" t="b">
        <v>0</v>
      </c>
      <c r="AS87">
        <v>7169</v>
      </c>
      <c r="AT87" t="s">
        <v>726</v>
      </c>
      <c r="AU87" t="s">
        <v>633</v>
      </c>
      <c r="AV87" t="b">
        <f t="shared" si="18"/>
        <v>1</v>
      </c>
      <c r="AW87" t="b">
        <v>0</v>
      </c>
      <c r="AX87">
        <v>7169</v>
      </c>
      <c r="AY87" s="16" t="s">
        <v>726</v>
      </c>
      <c r="AZ87" t="s">
        <v>633</v>
      </c>
      <c r="BA87" t="b">
        <f t="shared" si="19"/>
        <v>1</v>
      </c>
      <c r="BB87" t="b">
        <v>0</v>
      </c>
      <c r="BC87">
        <v>7169</v>
      </c>
      <c r="BD87" s="16" t="s">
        <v>726</v>
      </c>
      <c r="BE87" t="s">
        <v>633</v>
      </c>
      <c r="BF87" t="b">
        <f t="shared" si="20"/>
        <v>1</v>
      </c>
      <c r="BG87" t="b">
        <v>0</v>
      </c>
    </row>
    <row r="88" spans="1:59" x14ac:dyDescent="0.3">
      <c r="A88" s="1">
        <v>7171</v>
      </c>
      <c r="B88" s="16" t="s">
        <v>705</v>
      </c>
      <c r="C88" t="s">
        <v>634</v>
      </c>
      <c r="D88" s="1" t="b">
        <v>0</v>
      </c>
      <c r="E88">
        <v>7171</v>
      </c>
      <c r="F88" t="s">
        <v>705</v>
      </c>
      <c r="G88" t="s">
        <v>634</v>
      </c>
      <c r="H88" t="b">
        <f t="shared" si="11"/>
        <v>1</v>
      </c>
      <c r="I88" s="1" t="b">
        <v>0</v>
      </c>
      <c r="J88">
        <v>7171</v>
      </c>
      <c r="K88" t="s">
        <v>705</v>
      </c>
      <c r="L88" t="s">
        <v>634</v>
      </c>
      <c r="M88" t="b">
        <f t="shared" si="12"/>
        <v>1</v>
      </c>
      <c r="N88" s="1" t="b">
        <v>0</v>
      </c>
      <c r="T88">
        <v>7171</v>
      </c>
      <c r="U88" s="16" t="s">
        <v>705</v>
      </c>
      <c r="V88" t="s">
        <v>634</v>
      </c>
      <c r="W88" t="b">
        <f t="shared" si="13"/>
        <v>1</v>
      </c>
      <c r="X88" t="b">
        <v>0</v>
      </c>
      <c r="Y88">
        <v>7171</v>
      </c>
      <c r="Z88" s="16" t="s">
        <v>705</v>
      </c>
      <c r="AA88" t="s">
        <v>634</v>
      </c>
      <c r="AB88" t="b">
        <f t="shared" si="14"/>
        <v>1</v>
      </c>
      <c r="AC88" t="b">
        <v>0</v>
      </c>
      <c r="AD88">
        <v>7171</v>
      </c>
      <c r="AE88" s="16" t="s">
        <v>705</v>
      </c>
      <c r="AF88" t="s">
        <v>634</v>
      </c>
      <c r="AG88" t="b">
        <f t="shared" si="15"/>
        <v>1</v>
      </c>
      <c r="AH88" t="b">
        <v>0</v>
      </c>
      <c r="AI88">
        <v>7171</v>
      </c>
      <c r="AJ88" s="16" t="s">
        <v>705</v>
      </c>
      <c r="AK88" t="s">
        <v>634</v>
      </c>
      <c r="AL88" t="b">
        <f t="shared" si="16"/>
        <v>1</v>
      </c>
      <c r="AM88" t="b">
        <v>0</v>
      </c>
      <c r="AN88">
        <v>7171</v>
      </c>
      <c r="AO88" s="16" t="s">
        <v>705</v>
      </c>
      <c r="AP88" t="s">
        <v>634</v>
      </c>
      <c r="AQ88" t="b">
        <f t="shared" si="17"/>
        <v>1</v>
      </c>
      <c r="AR88" t="b">
        <v>0</v>
      </c>
      <c r="AS88">
        <v>7171</v>
      </c>
      <c r="AT88" t="s">
        <v>705</v>
      </c>
      <c r="AU88" t="s">
        <v>634</v>
      </c>
      <c r="AV88" t="b">
        <f t="shared" si="18"/>
        <v>1</v>
      </c>
      <c r="AW88" t="b">
        <v>0</v>
      </c>
      <c r="AX88">
        <v>7171</v>
      </c>
      <c r="AY88" s="16" t="s">
        <v>705</v>
      </c>
      <c r="AZ88" t="s">
        <v>634</v>
      </c>
      <c r="BA88" t="b">
        <f t="shared" si="19"/>
        <v>1</v>
      </c>
      <c r="BB88" t="b">
        <v>0</v>
      </c>
      <c r="BC88">
        <v>7171</v>
      </c>
      <c r="BD88" s="16" t="s">
        <v>705</v>
      </c>
      <c r="BE88" t="s">
        <v>634</v>
      </c>
      <c r="BF88" t="b">
        <f t="shared" si="20"/>
        <v>1</v>
      </c>
      <c r="BG88" t="b">
        <v>0</v>
      </c>
    </row>
    <row r="89" spans="1:59" x14ac:dyDescent="0.3">
      <c r="A89" s="1">
        <v>7173</v>
      </c>
      <c r="B89" s="16" t="s">
        <v>727</v>
      </c>
      <c r="C89" t="s">
        <v>635</v>
      </c>
      <c r="D89" s="1" t="e">
        <v>#N/A</v>
      </c>
      <c r="E89">
        <v>7173</v>
      </c>
      <c r="F89" t="s">
        <v>727</v>
      </c>
      <c r="G89" t="s">
        <v>635</v>
      </c>
      <c r="H89" t="b">
        <f t="shared" si="11"/>
        <v>1</v>
      </c>
      <c r="I89" s="1" t="e">
        <v>#N/A</v>
      </c>
      <c r="J89">
        <v>7173</v>
      </c>
      <c r="K89" t="s">
        <v>727</v>
      </c>
      <c r="L89" t="s">
        <v>635</v>
      </c>
      <c r="M89" t="b">
        <f t="shared" si="12"/>
        <v>1</v>
      </c>
      <c r="N89" s="1" t="e">
        <v>#N/A</v>
      </c>
      <c r="T89" s="30">
        <v>7173</v>
      </c>
      <c r="U89" s="32" t="s">
        <v>727</v>
      </c>
      <c r="V89" s="30" t="s">
        <v>635</v>
      </c>
      <c r="W89" s="30" t="b">
        <f t="shared" si="13"/>
        <v>1</v>
      </c>
      <c r="X89" s="30">
        <v>86</v>
      </c>
      <c r="Y89" s="30">
        <v>7173</v>
      </c>
      <c r="Z89" s="32" t="s">
        <v>727</v>
      </c>
      <c r="AA89" s="30" t="s">
        <v>635</v>
      </c>
      <c r="AB89" s="30" t="b">
        <f t="shared" si="14"/>
        <v>1</v>
      </c>
      <c r="AC89" s="30">
        <v>86</v>
      </c>
      <c r="AD89" s="30">
        <v>7173</v>
      </c>
      <c r="AE89" s="32" t="s">
        <v>727</v>
      </c>
      <c r="AF89" s="30" t="s">
        <v>635</v>
      </c>
      <c r="AG89" s="30" t="b">
        <f t="shared" si="15"/>
        <v>1</v>
      </c>
      <c r="AH89" s="30">
        <v>86</v>
      </c>
      <c r="AI89" s="30">
        <v>7173</v>
      </c>
      <c r="AJ89" s="32" t="s">
        <v>727</v>
      </c>
      <c r="AK89" s="30" t="s">
        <v>635</v>
      </c>
      <c r="AL89" s="30" t="b">
        <f t="shared" si="16"/>
        <v>1</v>
      </c>
      <c r="AM89" s="30">
        <v>86</v>
      </c>
      <c r="AN89" s="30">
        <v>7173</v>
      </c>
      <c r="AO89" s="32" t="s">
        <v>727</v>
      </c>
      <c r="AP89" s="30" t="s">
        <v>635</v>
      </c>
      <c r="AQ89" s="30" t="b">
        <f t="shared" si="17"/>
        <v>1</v>
      </c>
      <c r="AR89" s="30">
        <v>86</v>
      </c>
      <c r="AS89" s="30">
        <v>7173</v>
      </c>
      <c r="AT89" s="30" t="s">
        <v>727</v>
      </c>
      <c r="AU89" s="30" t="s">
        <v>635</v>
      </c>
      <c r="AV89" s="30" t="b">
        <f t="shared" si="18"/>
        <v>1</v>
      </c>
      <c r="AW89" s="30">
        <v>86</v>
      </c>
      <c r="AX89" s="30">
        <v>7173</v>
      </c>
      <c r="AY89" s="32" t="s">
        <v>727</v>
      </c>
      <c r="AZ89" s="30" t="s">
        <v>635</v>
      </c>
      <c r="BA89" s="30" t="b">
        <f t="shared" si="19"/>
        <v>1</v>
      </c>
      <c r="BB89" s="30">
        <v>86</v>
      </c>
      <c r="BC89" s="30">
        <v>7173</v>
      </c>
      <c r="BD89" s="32" t="s">
        <v>727</v>
      </c>
      <c r="BE89" s="30" t="s">
        <v>635</v>
      </c>
      <c r="BF89" s="30" t="b">
        <f t="shared" si="20"/>
        <v>1</v>
      </c>
      <c r="BG89" s="30">
        <v>86</v>
      </c>
    </row>
    <row r="90" spans="1:59" s="30" customFormat="1" x14ac:dyDescent="0.3">
      <c r="A90" s="31">
        <v>7175</v>
      </c>
      <c r="B90" s="32" t="s">
        <v>728</v>
      </c>
      <c r="C90" s="30" t="s">
        <v>636</v>
      </c>
      <c r="D90" s="31">
        <v>89</v>
      </c>
      <c r="E90" s="30">
        <v>7175</v>
      </c>
      <c r="F90" s="30" t="s">
        <v>728</v>
      </c>
      <c r="G90" s="30" t="s">
        <v>636</v>
      </c>
      <c r="H90" s="30" t="b">
        <f t="shared" si="11"/>
        <v>1</v>
      </c>
      <c r="I90" s="31">
        <v>89</v>
      </c>
      <c r="J90" s="30">
        <v>7175</v>
      </c>
      <c r="K90" s="30" t="s">
        <v>728</v>
      </c>
      <c r="L90" s="30" t="s">
        <v>636</v>
      </c>
      <c r="M90" s="30" t="b">
        <f t="shared" si="12"/>
        <v>1</v>
      </c>
      <c r="N90" s="31">
        <v>89</v>
      </c>
      <c r="T90" s="30">
        <v>7175</v>
      </c>
      <c r="U90" s="32" t="s">
        <v>728</v>
      </c>
      <c r="V90" s="30" t="s">
        <v>636</v>
      </c>
      <c r="W90" s="30" t="b">
        <f t="shared" si="13"/>
        <v>1</v>
      </c>
      <c r="X90" s="30" t="e">
        <v>#N/A</v>
      </c>
      <c r="Y90" s="30">
        <v>7175</v>
      </c>
      <c r="Z90" s="32" t="s">
        <v>728</v>
      </c>
      <c r="AA90" s="30" t="s">
        <v>636</v>
      </c>
      <c r="AB90" s="30" t="b">
        <f t="shared" si="14"/>
        <v>1</v>
      </c>
      <c r="AC90" s="30" t="e">
        <v>#N/A</v>
      </c>
      <c r="AD90" s="30">
        <v>7175</v>
      </c>
      <c r="AE90" s="32" t="s">
        <v>728</v>
      </c>
      <c r="AF90" s="30" t="s">
        <v>636</v>
      </c>
      <c r="AG90" s="30" t="b">
        <f t="shared" si="15"/>
        <v>1</v>
      </c>
      <c r="AH90" s="30" t="b">
        <v>0</v>
      </c>
      <c r="AI90" s="30">
        <v>7175</v>
      </c>
      <c r="AJ90" s="32" t="s">
        <v>728</v>
      </c>
      <c r="AK90" s="30" t="s">
        <v>636</v>
      </c>
      <c r="AL90" s="30" t="b">
        <f t="shared" si="16"/>
        <v>1</v>
      </c>
      <c r="AM90" s="30" t="e">
        <v>#N/A</v>
      </c>
      <c r="AN90" s="30">
        <v>7175</v>
      </c>
      <c r="AO90" s="32" t="s">
        <v>728</v>
      </c>
      <c r="AP90" s="30" t="s">
        <v>636</v>
      </c>
      <c r="AQ90" s="30" t="b">
        <f t="shared" si="17"/>
        <v>1</v>
      </c>
      <c r="AR90" s="30" t="e">
        <v>#N/A</v>
      </c>
      <c r="AS90" s="30">
        <v>7175</v>
      </c>
      <c r="AT90" s="30" t="s">
        <v>728</v>
      </c>
      <c r="AU90" s="30" t="s">
        <v>636</v>
      </c>
      <c r="AV90" s="30" t="b">
        <f t="shared" si="18"/>
        <v>1</v>
      </c>
      <c r="AW90" s="30" t="e">
        <v>#N/A</v>
      </c>
      <c r="AX90" s="30">
        <v>7175</v>
      </c>
      <c r="AY90" s="32" t="s">
        <v>728</v>
      </c>
      <c r="AZ90" s="30" t="s">
        <v>636</v>
      </c>
      <c r="BA90" s="30" t="b">
        <f t="shared" si="19"/>
        <v>1</v>
      </c>
      <c r="BB90" s="30" t="b">
        <v>0</v>
      </c>
      <c r="BC90" s="30">
        <v>7175</v>
      </c>
      <c r="BD90" s="32" t="s">
        <v>728</v>
      </c>
      <c r="BE90" s="30" t="s">
        <v>636</v>
      </c>
      <c r="BF90" s="30" t="b">
        <f t="shared" si="20"/>
        <v>1</v>
      </c>
      <c r="BG90" s="30">
        <v>88</v>
      </c>
    </row>
    <row r="91" spans="1:59" x14ac:dyDescent="0.3">
      <c r="A91" s="1">
        <v>7177</v>
      </c>
      <c r="B91" s="16" t="s">
        <v>729</v>
      </c>
      <c r="C91" t="s">
        <v>637</v>
      </c>
      <c r="D91" s="1" t="e">
        <v>#N/A</v>
      </c>
      <c r="E91">
        <v>7177</v>
      </c>
      <c r="F91" t="s">
        <v>729</v>
      </c>
      <c r="G91" t="s">
        <v>637</v>
      </c>
      <c r="H91" t="b">
        <f t="shared" si="11"/>
        <v>1</v>
      </c>
      <c r="I91" s="1" t="e">
        <v>#N/A</v>
      </c>
      <c r="J91">
        <v>7177</v>
      </c>
      <c r="K91" t="s">
        <v>728</v>
      </c>
      <c r="L91" t="s">
        <v>636</v>
      </c>
      <c r="M91" t="b">
        <f t="shared" si="12"/>
        <v>0</v>
      </c>
      <c r="N91" s="1" t="e">
        <v>#N/A</v>
      </c>
      <c r="T91">
        <v>7250</v>
      </c>
      <c r="U91" s="16" t="s">
        <v>729</v>
      </c>
      <c r="V91" t="s">
        <v>637</v>
      </c>
      <c r="W91" t="b">
        <f t="shared" si="13"/>
        <v>1</v>
      </c>
      <c r="X91" t="e">
        <v>#N/A</v>
      </c>
      <c r="Y91">
        <v>7177</v>
      </c>
      <c r="Z91" s="16" t="s">
        <v>729</v>
      </c>
      <c r="AA91" t="s">
        <v>637</v>
      </c>
      <c r="AB91" t="b">
        <f t="shared" si="14"/>
        <v>1</v>
      </c>
      <c r="AC91" t="e">
        <v>#N/A</v>
      </c>
      <c r="AD91">
        <v>7177</v>
      </c>
      <c r="AE91" s="16" t="s">
        <v>729</v>
      </c>
      <c r="AF91" t="s">
        <v>637</v>
      </c>
      <c r="AG91" t="b">
        <f t="shared" si="15"/>
        <v>1</v>
      </c>
      <c r="AH91" t="e">
        <v>#N/A</v>
      </c>
      <c r="AI91">
        <v>7177</v>
      </c>
      <c r="AJ91" s="16" t="s">
        <v>729</v>
      </c>
      <c r="AK91" t="s">
        <v>637</v>
      </c>
      <c r="AL91" t="b">
        <f t="shared" si="16"/>
        <v>1</v>
      </c>
      <c r="AM91" t="e">
        <v>#N/A</v>
      </c>
      <c r="AN91">
        <v>7177</v>
      </c>
      <c r="AO91" s="16" t="s">
        <v>729</v>
      </c>
      <c r="AP91" t="s">
        <v>637</v>
      </c>
      <c r="AQ91" t="b">
        <f t="shared" si="17"/>
        <v>1</v>
      </c>
      <c r="AR91" t="e">
        <v>#N/A</v>
      </c>
      <c r="AS91">
        <v>7177</v>
      </c>
      <c r="AT91" t="s">
        <v>729</v>
      </c>
      <c r="AU91" t="s">
        <v>637</v>
      </c>
      <c r="AV91" t="b">
        <f t="shared" si="18"/>
        <v>1</v>
      </c>
      <c r="AW91" t="e">
        <v>#N/A</v>
      </c>
      <c r="AX91">
        <v>7177</v>
      </c>
      <c r="AY91" s="16" t="s">
        <v>729</v>
      </c>
      <c r="AZ91" t="s">
        <v>637</v>
      </c>
      <c r="BA91" t="b">
        <f t="shared" si="19"/>
        <v>1</v>
      </c>
      <c r="BB91" t="e">
        <v>#N/A</v>
      </c>
      <c r="BC91">
        <v>7177</v>
      </c>
      <c r="BD91" s="16" t="s">
        <v>728</v>
      </c>
      <c r="BE91" t="s">
        <v>636</v>
      </c>
      <c r="BF91" t="b">
        <f t="shared" si="20"/>
        <v>0</v>
      </c>
      <c r="BG91" t="e">
        <v>#N/A</v>
      </c>
    </row>
    <row r="92" spans="1:59" s="30" customFormat="1" x14ac:dyDescent="0.3">
      <c r="A92" s="31">
        <v>7181</v>
      </c>
      <c r="B92" s="32" t="s">
        <v>730</v>
      </c>
      <c r="C92" s="30" t="s">
        <v>638</v>
      </c>
      <c r="D92" s="31">
        <v>90</v>
      </c>
      <c r="E92" s="30">
        <v>7181</v>
      </c>
      <c r="F92" s="30" t="s">
        <v>730</v>
      </c>
      <c r="G92" s="30" t="s">
        <v>638</v>
      </c>
      <c r="H92" s="30" t="b">
        <f t="shared" si="11"/>
        <v>1</v>
      </c>
      <c r="I92" s="31" t="b">
        <v>0</v>
      </c>
      <c r="J92" s="30">
        <v>7179</v>
      </c>
      <c r="K92" s="30" t="s">
        <v>729</v>
      </c>
      <c r="L92" s="30" t="s">
        <v>637</v>
      </c>
      <c r="M92" s="30" t="b">
        <f t="shared" si="12"/>
        <v>0</v>
      </c>
      <c r="N92" s="31" t="e">
        <v>#N/A</v>
      </c>
      <c r="T92" s="30">
        <v>7181</v>
      </c>
      <c r="U92" s="32" t="s">
        <v>730</v>
      </c>
      <c r="V92" s="30" t="s">
        <v>638</v>
      </c>
      <c r="W92" s="30" t="b">
        <f t="shared" si="13"/>
        <v>1</v>
      </c>
      <c r="X92" s="30" t="b">
        <v>0</v>
      </c>
      <c r="Y92" s="30">
        <v>7181</v>
      </c>
      <c r="Z92" s="32" t="s">
        <v>730</v>
      </c>
      <c r="AA92" s="30" t="s">
        <v>638</v>
      </c>
      <c r="AB92" s="30" t="b">
        <f t="shared" si="14"/>
        <v>1</v>
      </c>
      <c r="AC92" s="30" t="b">
        <v>0</v>
      </c>
      <c r="AD92" s="30">
        <v>7181</v>
      </c>
      <c r="AE92" s="32" t="s">
        <v>730</v>
      </c>
      <c r="AF92" s="30" t="s">
        <v>638</v>
      </c>
      <c r="AG92" s="30" t="b">
        <f t="shared" si="15"/>
        <v>1</v>
      </c>
      <c r="AH92" s="30" t="b">
        <v>0</v>
      </c>
      <c r="AI92" s="30">
        <v>7181</v>
      </c>
      <c r="AJ92" s="32" t="s">
        <v>730</v>
      </c>
      <c r="AK92" s="30" t="s">
        <v>638</v>
      </c>
      <c r="AL92" s="30" t="b">
        <f t="shared" si="16"/>
        <v>1</v>
      </c>
      <c r="AM92" s="30" t="b">
        <v>0</v>
      </c>
      <c r="AN92" s="30">
        <v>7181</v>
      </c>
      <c r="AO92" s="32" t="s">
        <v>730</v>
      </c>
      <c r="AP92" s="30" t="s">
        <v>638</v>
      </c>
      <c r="AQ92" s="30" t="b">
        <f t="shared" si="17"/>
        <v>1</v>
      </c>
      <c r="AR92" s="30" t="b">
        <v>0</v>
      </c>
      <c r="AS92" s="30">
        <v>7181</v>
      </c>
      <c r="AT92" s="30" t="s">
        <v>730</v>
      </c>
      <c r="AU92" s="30" t="s">
        <v>638</v>
      </c>
      <c r="AV92" s="30" t="b">
        <f t="shared" si="18"/>
        <v>1</v>
      </c>
      <c r="AW92" s="30" t="b">
        <v>0</v>
      </c>
      <c r="AX92" s="30">
        <v>7181</v>
      </c>
      <c r="AY92" s="32" t="s">
        <v>730</v>
      </c>
      <c r="AZ92" s="30" t="s">
        <v>638</v>
      </c>
      <c r="BA92" s="30" t="b">
        <f t="shared" si="19"/>
        <v>1</v>
      </c>
      <c r="BB92" s="30" t="b">
        <v>0</v>
      </c>
      <c r="BC92" s="30">
        <v>7179</v>
      </c>
      <c r="BD92" s="32" t="s">
        <v>729</v>
      </c>
      <c r="BE92" s="30" t="s">
        <v>637</v>
      </c>
      <c r="BF92" s="30" t="b">
        <f t="shared" si="20"/>
        <v>0</v>
      </c>
      <c r="BG92" s="30" t="e">
        <v>#N/A</v>
      </c>
    </row>
    <row r="93" spans="1:59" s="30" customFormat="1" x14ac:dyDescent="0.3">
      <c r="A93" s="31">
        <v>7183</v>
      </c>
      <c r="B93" s="32" t="s">
        <v>639</v>
      </c>
      <c r="C93" s="30" t="s">
        <v>640</v>
      </c>
      <c r="D93" s="31">
        <v>91</v>
      </c>
      <c r="E93" s="30">
        <v>7183</v>
      </c>
      <c r="F93" s="30" t="s">
        <v>639</v>
      </c>
      <c r="G93" s="30" t="s">
        <v>640</v>
      </c>
      <c r="H93" s="30" t="b">
        <f t="shared" si="11"/>
        <v>1</v>
      </c>
      <c r="I93" s="31" t="b">
        <v>0</v>
      </c>
      <c r="J93" s="30">
        <v>7181</v>
      </c>
      <c r="K93" s="30" t="s">
        <v>729</v>
      </c>
      <c r="L93" s="30" t="s">
        <v>637</v>
      </c>
      <c r="M93" s="30" t="b">
        <f t="shared" si="12"/>
        <v>0</v>
      </c>
      <c r="N93" s="31" t="b">
        <v>0</v>
      </c>
      <c r="T93" s="30">
        <v>7183</v>
      </c>
      <c r="U93" s="32" t="s">
        <v>639</v>
      </c>
      <c r="V93" s="30" t="s">
        <v>640</v>
      </c>
      <c r="W93" s="30" t="b">
        <f t="shared" si="13"/>
        <v>1</v>
      </c>
      <c r="X93" s="30" t="e">
        <v>#N/A</v>
      </c>
      <c r="Y93" s="30">
        <v>7183</v>
      </c>
      <c r="Z93" s="32" t="s">
        <v>639</v>
      </c>
      <c r="AA93" s="30" t="s">
        <v>640</v>
      </c>
      <c r="AB93" s="30" t="b">
        <f t="shared" si="14"/>
        <v>1</v>
      </c>
      <c r="AC93" s="30" t="e">
        <v>#N/A</v>
      </c>
      <c r="AD93" s="30">
        <v>7183</v>
      </c>
      <c r="AE93" s="32" t="s">
        <v>639</v>
      </c>
      <c r="AF93" s="30" t="s">
        <v>640</v>
      </c>
      <c r="AG93" s="30" t="b">
        <f t="shared" si="15"/>
        <v>1</v>
      </c>
      <c r="AH93" s="30" t="b">
        <v>0</v>
      </c>
      <c r="AI93" s="30">
        <v>7183</v>
      </c>
      <c r="AJ93" s="32" t="s">
        <v>639</v>
      </c>
      <c r="AK93" s="30" t="s">
        <v>640</v>
      </c>
      <c r="AL93" s="30" t="b">
        <f t="shared" si="16"/>
        <v>1</v>
      </c>
      <c r="AM93" s="30" t="e">
        <v>#N/A</v>
      </c>
      <c r="AN93" s="30">
        <v>7183</v>
      </c>
      <c r="AO93" s="32" t="s">
        <v>639</v>
      </c>
      <c r="AP93" s="30" t="s">
        <v>640</v>
      </c>
      <c r="AQ93" s="30" t="b">
        <f t="shared" si="17"/>
        <v>1</v>
      </c>
      <c r="AR93" s="30" t="e">
        <v>#N/A</v>
      </c>
      <c r="AS93" s="30">
        <v>7183</v>
      </c>
      <c r="AT93" s="30" t="s">
        <v>639</v>
      </c>
      <c r="AU93" s="30" t="s">
        <v>640</v>
      </c>
      <c r="AV93" s="30" t="b">
        <f t="shared" si="18"/>
        <v>1</v>
      </c>
      <c r="AW93" s="30" t="e">
        <v>#N/A</v>
      </c>
      <c r="AX93" s="30">
        <v>7183</v>
      </c>
      <c r="AY93" s="32" t="s">
        <v>639</v>
      </c>
      <c r="AZ93" s="30" t="s">
        <v>640</v>
      </c>
      <c r="BA93" s="30" t="b">
        <f t="shared" si="19"/>
        <v>1</v>
      </c>
      <c r="BB93" s="30" t="b">
        <v>0</v>
      </c>
      <c r="BC93" s="30">
        <v>7181</v>
      </c>
      <c r="BD93" s="32" t="s">
        <v>729</v>
      </c>
      <c r="BE93" s="30" t="s">
        <v>637</v>
      </c>
      <c r="BF93" s="30" t="b">
        <f t="shared" si="20"/>
        <v>0</v>
      </c>
      <c r="BG93" s="30">
        <v>87</v>
      </c>
    </row>
    <row r="94" spans="1:59" x14ac:dyDescent="0.3">
      <c r="A94" s="1">
        <v>7185</v>
      </c>
      <c r="B94" s="16" t="s">
        <v>731</v>
      </c>
      <c r="C94" t="s">
        <v>641</v>
      </c>
      <c r="D94" s="1" t="e">
        <v>#N/A</v>
      </c>
      <c r="E94">
        <v>7185</v>
      </c>
      <c r="F94" t="s">
        <v>731</v>
      </c>
      <c r="G94" t="s">
        <v>641</v>
      </c>
      <c r="H94" t="b">
        <f t="shared" si="11"/>
        <v>1</v>
      </c>
      <c r="I94" s="1" t="e">
        <v>#N/A</v>
      </c>
      <c r="J94">
        <v>7183</v>
      </c>
      <c r="K94" t="s">
        <v>730</v>
      </c>
      <c r="L94" t="s">
        <v>638</v>
      </c>
      <c r="M94" t="b">
        <f t="shared" si="12"/>
        <v>0</v>
      </c>
      <c r="N94" s="1" t="b">
        <v>0</v>
      </c>
      <c r="T94">
        <v>7185</v>
      </c>
      <c r="U94" s="16" t="s">
        <v>731</v>
      </c>
      <c r="V94" t="s">
        <v>641</v>
      </c>
      <c r="W94" t="b">
        <f t="shared" si="13"/>
        <v>1</v>
      </c>
      <c r="X94" t="e">
        <v>#N/A</v>
      </c>
      <c r="Y94">
        <v>7185</v>
      </c>
      <c r="Z94" s="16" t="s">
        <v>731</v>
      </c>
      <c r="AA94" t="s">
        <v>641</v>
      </c>
      <c r="AB94" t="b">
        <f t="shared" si="14"/>
        <v>1</v>
      </c>
      <c r="AC94" t="e">
        <v>#N/A</v>
      </c>
      <c r="AD94">
        <v>7185</v>
      </c>
      <c r="AE94" s="16" t="s">
        <v>731</v>
      </c>
      <c r="AF94" t="s">
        <v>641</v>
      </c>
      <c r="AG94" t="b">
        <f t="shared" si="15"/>
        <v>1</v>
      </c>
      <c r="AH94" t="e">
        <v>#N/A</v>
      </c>
      <c r="AI94">
        <v>7185</v>
      </c>
      <c r="AJ94" s="16" t="s">
        <v>731</v>
      </c>
      <c r="AK94" t="s">
        <v>641</v>
      </c>
      <c r="AL94" t="b">
        <f t="shared" si="16"/>
        <v>1</v>
      </c>
      <c r="AM94" t="e">
        <v>#N/A</v>
      </c>
      <c r="AN94">
        <v>7185</v>
      </c>
      <c r="AO94" s="16" t="s">
        <v>731</v>
      </c>
      <c r="AP94" t="s">
        <v>641</v>
      </c>
      <c r="AQ94" t="b">
        <f t="shared" si="17"/>
        <v>1</v>
      </c>
      <c r="AR94" t="e">
        <v>#N/A</v>
      </c>
      <c r="AS94">
        <v>7185</v>
      </c>
      <c r="AT94" t="s">
        <v>731</v>
      </c>
      <c r="AU94" t="s">
        <v>641</v>
      </c>
      <c r="AV94" t="b">
        <f t="shared" si="18"/>
        <v>1</v>
      </c>
      <c r="AW94" t="e">
        <v>#N/A</v>
      </c>
      <c r="AX94">
        <v>7185</v>
      </c>
      <c r="AY94" s="16" t="s">
        <v>731</v>
      </c>
      <c r="AZ94" t="s">
        <v>641</v>
      </c>
      <c r="BA94" t="b">
        <f t="shared" si="19"/>
        <v>1</v>
      </c>
      <c r="BB94" t="e">
        <v>#N/A</v>
      </c>
      <c r="BC94" s="30">
        <v>7183</v>
      </c>
      <c r="BD94" s="32" t="s">
        <v>730</v>
      </c>
      <c r="BE94" s="30" t="s">
        <v>638</v>
      </c>
      <c r="BF94" s="30" t="b">
        <f t="shared" si="20"/>
        <v>0</v>
      </c>
      <c r="BG94" s="30">
        <v>89</v>
      </c>
    </row>
    <row r="95" spans="1:59" x14ac:dyDescent="0.3">
      <c r="A95" s="1">
        <v>7189</v>
      </c>
      <c r="B95" s="16" t="s">
        <v>732</v>
      </c>
      <c r="C95" t="s">
        <v>642</v>
      </c>
      <c r="D95" s="1" t="e">
        <v>#N/A</v>
      </c>
      <c r="E95">
        <v>7189</v>
      </c>
      <c r="F95" t="s">
        <v>732</v>
      </c>
      <c r="G95" t="s">
        <v>642</v>
      </c>
      <c r="H95" t="b">
        <f t="shared" si="11"/>
        <v>1</v>
      </c>
      <c r="I95" s="1" t="e">
        <v>#N/A</v>
      </c>
      <c r="J95">
        <v>7185</v>
      </c>
      <c r="K95" t="s">
        <v>639</v>
      </c>
      <c r="L95" t="s">
        <v>640</v>
      </c>
      <c r="M95" t="b">
        <f t="shared" si="12"/>
        <v>0</v>
      </c>
      <c r="N95" s="1" t="e">
        <v>#N/A</v>
      </c>
      <c r="T95">
        <v>7189</v>
      </c>
      <c r="U95" s="16" t="s">
        <v>732</v>
      </c>
      <c r="V95" t="s">
        <v>642</v>
      </c>
      <c r="W95" t="b">
        <f t="shared" si="13"/>
        <v>1</v>
      </c>
      <c r="X95" t="e">
        <v>#N/A</v>
      </c>
      <c r="Y95">
        <v>7189</v>
      </c>
      <c r="Z95" s="16" t="s">
        <v>732</v>
      </c>
      <c r="AA95" t="s">
        <v>642</v>
      </c>
      <c r="AB95" t="b">
        <f t="shared" si="14"/>
        <v>1</v>
      </c>
      <c r="AC95" t="e">
        <v>#N/A</v>
      </c>
      <c r="AD95">
        <v>7189</v>
      </c>
      <c r="AE95" s="16" t="s">
        <v>732</v>
      </c>
      <c r="AF95" t="s">
        <v>642</v>
      </c>
      <c r="AG95" t="b">
        <f t="shared" si="15"/>
        <v>1</v>
      </c>
      <c r="AH95" t="e">
        <v>#N/A</v>
      </c>
      <c r="AI95">
        <v>7189</v>
      </c>
      <c r="AJ95" s="16" t="s">
        <v>732</v>
      </c>
      <c r="AK95" t="s">
        <v>642</v>
      </c>
      <c r="AL95" t="b">
        <f t="shared" si="16"/>
        <v>1</v>
      </c>
      <c r="AM95" t="e">
        <v>#N/A</v>
      </c>
      <c r="AN95">
        <v>7189</v>
      </c>
      <c r="AO95" s="16" t="s">
        <v>732</v>
      </c>
      <c r="AP95" t="s">
        <v>642</v>
      </c>
      <c r="AQ95" t="b">
        <f t="shared" si="17"/>
        <v>1</v>
      </c>
      <c r="AR95" t="e">
        <v>#N/A</v>
      </c>
      <c r="AS95">
        <v>7189</v>
      </c>
      <c r="AT95" t="s">
        <v>732</v>
      </c>
      <c r="AU95" t="s">
        <v>642</v>
      </c>
      <c r="AV95" t="b">
        <f t="shared" si="18"/>
        <v>1</v>
      </c>
      <c r="AW95" t="e">
        <v>#N/A</v>
      </c>
      <c r="AX95">
        <v>7189</v>
      </c>
      <c r="AY95" s="16" t="s">
        <v>732</v>
      </c>
      <c r="AZ95" t="s">
        <v>642</v>
      </c>
      <c r="BA95" t="b">
        <f t="shared" si="19"/>
        <v>1</v>
      </c>
      <c r="BB95" t="e">
        <v>#N/A</v>
      </c>
      <c r="BC95">
        <v>7185</v>
      </c>
      <c r="BD95" s="16" t="s">
        <v>639</v>
      </c>
      <c r="BE95" t="s">
        <v>640</v>
      </c>
      <c r="BF95" t="b">
        <f t="shared" si="20"/>
        <v>0</v>
      </c>
      <c r="BG95" t="e">
        <v>#N/A</v>
      </c>
    </row>
    <row r="96" spans="1:59" x14ac:dyDescent="0.3">
      <c r="A96" s="1">
        <v>7193</v>
      </c>
      <c r="B96" s="16" t="s">
        <v>733</v>
      </c>
      <c r="C96" t="s">
        <v>643</v>
      </c>
      <c r="D96" s="1" t="e">
        <v>#N/A</v>
      </c>
      <c r="E96">
        <v>7193</v>
      </c>
      <c r="F96" t="s">
        <v>733</v>
      </c>
      <c r="G96" t="s">
        <v>643</v>
      </c>
      <c r="H96" t="b">
        <f t="shared" si="11"/>
        <v>1</v>
      </c>
      <c r="I96" s="1" t="e">
        <v>#N/A</v>
      </c>
      <c r="J96">
        <v>7187</v>
      </c>
      <c r="K96" t="s">
        <v>731</v>
      </c>
      <c r="L96" t="s">
        <v>641</v>
      </c>
      <c r="M96" t="b">
        <f t="shared" si="12"/>
        <v>0</v>
      </c>
      <c r="N96" s="1" t="b">
        <v>0</v>
      </c>
      <c r="T96">
        <v>7193</v>
      </c>
      <c r="U96" s="16" t="s">
        <v>733</v>
      </c>
      <c r="V96" t="s">
        <v>643</v>
      </c>
      <c r="W96" t="b">
        <f t="shared" si="13"/>
        <v>1</v>
      </c>
      <c r="X96" t="e">
        <v>#N/A</v>
      </c>
      <c r="Y96">
        <v>7193</v>
      </c>
      <c r="Z96" s="16" t="s">
        <v>733</v>
      </c>
      <c r="AA96" t="s">
        <v>643</v>
      </c>
      <c r="AB96" t="b">
        <f t="shared" si="14"/>
        <v>1</v>
      </c>
      <c r="AC96" t="e">
        <v>#N/A</v>
      </c>
      <c r="AD96">
        <v>7193</v>
      </c>
      <c r="AE96" s="16" t="s">
        <v>733</v>
      </c>
      <c r="AF96" t="s">
        <v>643</v>
      </c>
      <c r="AG96" t="b">
        <f t="shared" si="15"/>
        <v>1</v>
      </c>
      <c r="AH96" t="e">
        <v>#N/A</v>
      </c>
      <c r="AI96">
        <v>7193</v>
      </c>
      <c r="AJ96" s="16" t="s">
        <v>733</v>
      </c>
      <c r="AK96" t="s">
        <v>643</v>
      </c>
      <c r="AL96" t="b">
        <f t="shared" si="16"/>
        <v>1</v>
      </c>
      <c r="AM96" t="e">
        <v>#N/A</v>
      </c>
      <c r="AN96">
        <v>7193</v>
      </c>
      <c r="AO96" s="16" t="s">
        <v>733</v>
      </c>
      <c r="AP96" t="s">
        <v>643</v>
      </c>
      <c r="AQ96" t="b">
        <f t="shared" si="17"/>
        <v>1</v>
      </c>
      <c r="AR96" t="e">
        <v>#N/A</v>
      </c>
      <c r="AS96">
        <v>7193</v>
      </c>
      <c r="AT96" t="s">
        <v>733</v>
      </c>
      <c r="AU96" t="s">
        <v>643</v>
      </c>
      <c r="AV96" t="b">
        <f t="shared" si="18"/>
        <v>1</v>
      </c>
      <c r="AW96" t="e">
        <v>#N/A</v>
      </c>
      <c r="AX96">
        <v>7193</v>
      </c>
      <c r="AY96" s="16" t="s">
        <v>733</v>
      </c>
      <c r="AZ96" t="s">
        <v>643</v>
      </c>
      <c r="BA96" t="b">
        <f t="shared" si="19"/>
        <v>1</v>
      </c>
      <c r="BB96" t="e">
        <v>#N/A</v>
      </c>
      <c r="BC96">
        <v>7187</v>
      </c>
      <c r="BD96" s="16" t="s">
        <v>731</v>
      </c>
      <c r="BE96" t="s">
        <v>641</v>
      </c>
      <c r="BF96" t="b">
        <f t="shared" si="20"/>
        <v>0</v>
      </c>
      <c r="BG96" t="e">
        <v>#N/A</v>
      </c>
    </row>
    <row r="97" spans="10:59" x14ac:dyDescent="0.3">
      <c r="J97">
        <v>7191</v>
      </c>
      <c r="K97" t="s">
        <v>732</v>
      </c>
      <c r="L97" t="s">
        <v>642</v>
      </c>
      <c r="M97" t="b">
        <f t="shared" si="12"/>
        <v>0</v>
      </c>
      <c r="N97" s="1" t="e">
        <v>#N/A</v>
      </c>
      <c r="T97">
        <v>7207</v>
      </c>
      <c r="U97" s="16" t="s">
        <v>1070</v>
      </c>
      <c r="V97" t="s">
        <v>1071</v>
      </c>
      <c r="W97" t="b">
        <f t="shared" si="13"/>
        <v>0</v>
      </c>
      <c r="X97" t="e">
        <v>#N/A</v>
      </c>
      <c r="AN97">
        <v>7300</v>
      </c>
      <c r="AO97" s="16" t="s">
        <v>1029</v>
      </c>
      <c r="AP97" t="s">
        <v>1073</v>
      </c>
      <c r="AQ97" t="b">
        <f t="shared" si="17"/>
        <v>0</v>
      </c>
      <c r="AR97" t="e">
        <v>#N/A</v>
      </c>
      <c r="BC97">
        <v>7191</v>
      </c>
      <c r="BD97" s="16" t="s">
        <v>732</v>
      </c>
      <c r="BE97" t="s">
        <v>642</v>
      </c>
      <c r="BF97" t="b">
        <f t="shared" si="20"/>
        <v>0</v>
      </c>
      <c r="BG97" t="e">
        <v>#N/A</v>
      </c>
    </row>
    <row r="98" spans="10:59" x14ac:dyDescent="0.3">
      <c r="J98">
        <v>7195</v>
      </c>
      <c r="K98" t="s">
        <v>733</v>
      </c>
      <c r="L98" t="s">
        <v>643</v>
      </c>
      <c r="M98" t="b">
        <f t="shared" si="12"/>
        <v>0</v>
      </c>
      <c r="N98" s="1" t="e">
        <v>#N/A</v>
      </c>
      <c r="T98">
        <v>7209</v>
      </c>
      <c r="U98" s="16" t="s">
        <v>639</v>
      </c>
      <c r="V98" t="s">
        <v>1072</v>
      </c>
      <c r="W98" t="b">
        <f t="shared" si="13"/>
        <v>0</v>
      </c>
      <c r="X98" t="e">
        <v>#N/A</v>
      </c>
      <c r="AN98">
        <v>7400</v>
      </c>
      <c r="AO98" s="16" t="s">
        <v>644</v>
      </c>
      <c r="AP98" t="s">
        <v>1081</v>
      </c>
      <c r="AQ98" t="b">
        <f t="shared" si="17"/>
        <v>0</v>
      </c>
      <c r="AR98" t="e">
        <v>#N/A</v>
      </c>
      <c r="BC98">
        <v>7195</v>
      </c>
      <c r="BD98" s="16" t="s">
        <v>733</v>
      </c>
      <c r="BE98" t="s">
        <v>643</v>
      </c>
      <c r="BF98" t="b">
        <f t="shared" si="20"/>
        <v>0</v>
      </c>
      <c r="BG98" t="e">
        <v>#N/A</v>
      </c>
    </row>
    <row r="99" spans="10:59" x14ac:dyDescent="0.3">
      <c r="J99">
        <v>7199</v>
      </c>
      <c r="K99" t="s">
        <v>644</v>
      </c>
      <c r="L99" t="s">
        <v>645</v>
      </c>
      <c r="M99" t="b">
        <f t="shared" si="12"/>
        <v>0</v>
      </c>
      <c r="N99" s="1" t="e">
        <v>#N/A</v>
      </c>
      <c r="T99">
        <v>7300</v>
      </c>
      <c r="U99" s="16" t="s">
        <v>1029</v>
      </c>
      <c r="V99" t="s">
        <v>1073</v>
      </c>
      <c r="W99" t="b">
        <f t="shared" si="13"/>
        <v>0</v>
      </c>
      <c r="X99" t="e">
        <v>#N/A</v>
      </c>
      <c r="AN99">
        <v>7207</v>
      </c>
      <c r="AO99" s="16" t="s">
        <v>1070</v>
      </c>
      <c r="AP99" t="s">
        <v>1082</v>
      </c>
      <c r="AQ99" t="b">
        <f t="shared" si="17"/>
        <v>0</v>
      </c>
      <c r="AR99" t="e">
        <v>#N/A</v>
      </c>
      <c r="BC99">
        <v>7199</v>
      </c>
      <c r="BD99" s="16" t="s">
        <v>644</v>
      </c>
      <c r="BE99" t="s">
        <v>645</v>
      </c>
      <c r="BF99" t="b">
        <f t="shared" si="20"/>
        <v>0</v>
      </c>
      <c r="BG99" t="e">
        <v>#N/A</v>
      </c>
    </row>
    <row r="100" spans="10:59" x14ac:dyDescent="0.3">
      <c r="T100">
        <v>7400</v>
      </c>
      <c r="U100" s="16" t="s">
        <v>644</v>
      </c>
      <c r="V100" t="s">
        <v>1074</v>
      </c>
      <c r="X100" t="e">
        <v>#N/A</v>
      </c>
      <c r="AN100">
        <v>7209</v>
      </c>
      <c r="AO100" s="16" t="s">
        <v>639</v>
      </c>
      <c r="AP100" t="s">
        <v>1083</v>
      </c>
      <c r="AQ100" t="b">
        <f t="shared" si="17"/>
        <v>0</v>
      </c>
      <c r="AR100" t="e">
        <v>#N/A</v>
      </c>
    </row>
    <row r="101" spans="10:59" x14ac:dyDescent="0.3">
      <c r="AN101">
        <v>7251</v>
      </c>
      <c r="AO101" s="16" t="s">
        <v>1088</v>
      </c>
      <c r="AP101" t="s">
        <v>1084</v>
      </c>
      <c r="AQ101" t="b">
        <f t="shared" si="17"/>
        <v>0</v>
      </c>
      <c r="AR101" t="e">
        <v>#N/A</v>
      </c>
    </row>
    <row r="102" spans="10:59" x14ac:dyDescent="0.3">
      <c r="AN102">
        <v>7253</v>
      </c>
      <c r="AO102" s="16" t="s">
        <v>1089</v>
      </c>
      <c r="AP102" t="s">
        <v>1085</v>
      </c>
      <c r="AQ102" t="b">
        <f t="shared" si="17"/>
        <v>0</v>
      </c>
      <c r="AR102" t="e">
        <v>#N/A</v>
      </c>
    </row>
    <row r="103" spans="10:59" x14ac:dyDescent="0.3">
      <c r="AN103">
        <v>7255</v>
      </c>
      <c r="AO103" s="16" t="s">
        <v>1090</v>
      </c>
      <c r="AP103" t="s">
        <v>1086</v>
      </c>
      <c r="AQ103" t="b">
        <f t="shared" si="17"/>
        <v>0</v>
      </c>
      <c r="AR103" t="e">
        <v>#N/A</v>
      </c>
    </row>
    <row r="104" spans="10:59" x14ac:dyDescent="0.3">
      <c r="AN104">
        <v>7257</v>
      </c>
      <c r="AO104" s="16" t="s">
        <v>727</v>
      </c>
      <c r="AP104" t="s">
        <v>1087</v>
      </c>
      <c r="AQ104" t="b">
        <f t="shared" si="17"/>
        <v>0</v>
      </c>
      <c r="AR104" t="e">
        <v>#N/A</v>
      </c>
    </row>
  </sheetData>
  <autoFilter ref="A2:BG104" xr:uid="{A2E03517-D222-40D1-9716-A87C582B570B}"/>
  <mergeCells count="12">
    <mergeCell ref="A1:D1"/>
    <mergeCell ref="BC1:BG1"/>
    <mergeCell ref="AX1:BB1"/>
    <mergeCell ref="AS1:AW1"/>
    <mergeCell ref="AN1:AR1"/>
    <mergeCell ref="AI1:AM1"/>
    <mergeCell ref="AD1:AH1"/>
    <mergeCell ref="Y1:AC1"/>
    <mergeCell ref="T1:X1"/>
    <mergeCell ref="O1:S1"/>
    <mergeCell ref="J1:N1"/>
    <mergeCell ref="E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2E8E-309B-47B7-B493-C2C57E456815}">
  <dimension ref="A1:K94"/>
  <sheetViews>
    <sheetView workbookViewId="0">
      <selection activeCell="I21" sqref="I21"/>
    </sheetView>
  </sheetViews>
  <sheetFormatPr defaultRowHeight="16.5" x14ac:dyDescent="0.3"/>
  <cols>
    <col min="3" max="3" width="15.875" bestFit="1" customWidth="1"/>
    <col min="5" max="5" width="49.125" bestFit="1" customWidth="1"/>
    <col min="9" max="9" width="10.25" bestFit="1" customWidth="1"/>
    <col min="10" max="10" width="55.625" bestFit="1" customWidth="1"/>
    <col min="11" max="11" width="10.25" bestFit="1" customWidth="1"/>
  </cols>
  <sheetData>
    <row r="1" spans="1:11" x14ac:dyDescent="0.3">
      <c r="A1" s="31">
        <v>7001</v>
      </c>
      <c r="B1" s="32" t="s">
        <v>646</v>
      </c>
      <c r="C1" s="30" t="s">
        <v>552</v>
      </c>
      <c r="D1" s="31">
        <v>0</v>
      </c>
      <c r="E1" t="e">
        <f>VLOOKUP(B1,$I$1:$K$17,2,0)</f>
        <v>#N/A</v>
      </c>
      <c r="I1" s="19" t="s">
        <v>736</v>
      </c>
      <c r="J1" s="26" t="s">
        <v>900</v>
      </c>
      <c r="K1" s="19"/>
    </row>
    <row r="2" spans="1:11" x14ac:dyDescent="0.3">
      <c r="A2" s="31">
        <v>7003</v>
      </c>
      <c r="B2" s="32" t="s">
        <v>647</v>
      </c>
      <c r="C2" s="30" t="s">
        <v>553</v>
      </c>
      <c r="D2" s="31">
        <v>1</v>
      </c>
      <c r="E2" t="e">
        <f t="shared" ref="E2:E65" si="0">VLOOKUP(B2,$I$1:$K$17,2,0)</f>
        <v>#N/A</v>
      </c>
      <c r="I2" s="19" t="s">
        <v>737</v>
      </c>
      <c r="J2" s="26" t="s">
        <v>901</v>
      </c>
      <c r="K2" s="19"/>
    </row>
    <row r="3" spans="1:11" x14ac:dyDescent="0.3">
      <c r="A3" s="31">
        <v>7005</v>
      </c>
      <c r="B3" s="32" t="s">
        <v>648</v>
      </c>
      <c r="C3" s="30" t="s">
        <v>554</v>
      </c>
      <c r="D3" s="31">
        <v>2</v>
      </c>
      <c r="E3" t="e">
        <f t="shared" si="0"/>
        <v>#N/A</v>
      </c>
      <c r="I3" s="20" t="s">
        <v>644</v>
      </c>
      <c r="J3" s="26" t="s">
        <v>902</v>
      </c>
      <c r="K3" s="20"/>
    </row>
    <row r="4" spans="1:11" x14ac:dyDescent="0.3">
      <c r="A4" s="31">
        <v>7007</v>
      </c>
      <c r="B4" s="32" t="s">
        <v>649</v>
      </c>
      <c r="C4" s="30" t="s">
        <v>555</v>
      </c>
      <c r="D4" s="31">
        <v>3</v>
      </c>
      <c r="E4" t="e">
        <f t="shared" si="0"/>
        <v>#N/A</v>
      </c>
      <c r="I4" s="19" t="s">
        <v>639</v>
      </c>
      <c r="J4" s="27" t="s">
        <v>903</v>
      </c>
      <c r="K4" s="19"/>
    </row>
    <row r="5" spans="1:11" x14ac:dyDescent="0.3">
      <c r="A5" s="31">
        <v>7009</v>
      </c>
      <c r="B5" s="32" t="s">
        <v>650</v>
      </c>
      <c r="C5" s="30" t="s">
        <v>556</v>
      </c>
      <c r="D5" s="31">
        <v>4</v>
      </c>
      <c r="E5" t="e">
        <f t="shared" si="0"/>
        <v>#N/A</v>
      </c>
      <c r="I5" s="21" t="s">
        <v>668</v>
      </c>
      <c r="J5" s="26" t="s">
        <v>904</v>
      </c>
      <c r="K5" s="21"/>
    </row>
    <row r="6" spans="1:11" x14ac:dyDescent="0.3">
      <c r="A6" s="31">
        <v>7011</v>
      </c>
      <c r="B6" s="32" t="s">
        <v>651</v>
      </c>
      <c r="C6" s="30" t="s">
        <v>557</v>
      </c>
      <c r="D6" s="31">
        <v>5</v>
      </c>
      <c r="E6" t="e">
        <f t="shared" si="0"/>
        <v>#N/A</v>
      </c>
      <c r="I6" s="21" t="s">
        <v>669</v>
      </c>
      <c r="J6" s="26" t="s">
        <v>905</v>
      </c>
      <c r="K6" s="21"/>
    </row>
    <row r="7" spans="1:11" x14ac:dyDescent="0.3">
      <c r="A7" s="1">
        <v>7013</v>
      </c>
      <c r="B7" s="16" t="s">
        <v>652</v>
      </c>
      <c r="C7" t="s">
        <v>558</v>
      </c>
      <c r="D7" s="1" t="b">
        <v>0</v>
      </c>
      <c r="E7" t="e">
        <f t="shared" si="0"/>
        <v>#N/A</v>
      </c>
      <c r="I7" s="21" t="s">
        <v>670</v>
      </c>
      <c r="J7" s="26" t="s">
        <v>906</v>
      </c>
      <c r="K7" s="21"/>
    </row>
    <row r="8" spans="1:11" x14ac:dyDescent="0.3">
      <c r="A8" s="1">
        <v>7015</v>
      </c>
      <c r="B8" s="16" t="s">
        <v>653</v>
      </c>
      <c r="C8" t="s">
        <v>559</v>
      </c>
      <c r="D8" s="1" t="b">
        <v>0</v>
      </c>
      <c r="E8" t="e">
        <f t="shared" si="0"/>
        <v>#N/A</v>
      </c>
      <c r="I8" s="21" t="s">
        <v>671</v>
      </c>
      <c r="J8" s="26" t="s">
        <v>907</v>
      </c>
      <c r="K8" s="21"/>
    </row>
    <row r="9" spans="1:11" x14ac:dyDescent="0.3">
      <c r="A9" s="1">
        <v>7017</v>
      </c>
      <c r="B9" s="16" t="s">
        <v>654</v>
      </c>
      <c r="C9" t="s">
        <v>560</v>
      </c>
      <c r="D9" s="1" t="b">
        <v>0</v>
      </c>
      <c r="E9" t="e">
        <f t="shared" si="0"/>
        <v>#N/A</v>
      </c>
      <c r="I9" s="21" t="s">
        <v>672</v>
      </c>
      <c r="J9" s="28" t="s">
        <v>908</v>
      </c>
      <c r="K9" s="21"/>
    </row>
    <row r="10" spans="1:11" x14ac:dyDescent="0.3">
      <c r="A10" s="1">
        <v>7019</v>
      </c>
      <c r="B10" s="16" t="s">
        <v>655</v>
      </c>
      <c r="C10" t="s">
        <v>561</v>
      </c>
      <c r="D10" s="1" t="b">
        <v>0</v>
      </c>
      <c r="E10" t="str">
        <f t="shared" si="0"/>
        <v>Previous Comulative kWh-Rate A Reading</v>
      </c>
      <c r="I10" s="21" t="s">
        <v>673</v>
      </c>
      <c r="J10" s="28" t="s">
        <v>909</v>
      </c>
      <c r="K10" s="21"/>
    </row>
    <row r="11" spans="1:11" x14ac:dyDescent="0.3">
      <c r="A11" s="1">
        <v>7021</v>
      </c>
      <c r="B11" s="16" t="s">
        <v>656</v>
      </c>
      <c r="C11" t="s">
        <v>562</v>
      </c>
      <c r="D11" s="1" t="b">
        <v>0</v>
      </c>
      <c r="E11" t="str">
        <f t="shared" si="0"/>
        <v>Previous Comulative kWh-Rate B Reading</v>
      </c>
      <c r="I11" s="21" t="s">
        <v>674</v>
      </c>
      <c r="J11" s="28" t="s">
        <v>910</v>
      </c>
      <c r="K11" s="21"/>
    </row>
    <row r="12" spans="1:11" x14ac:dyDescent="0.3">
      <c r="A12" s="1">
        <v>7023</v>
      </c>
      <c r="B12" s="16" t="s">
        <v>657</v>
      </c>
      <c r="C12" t="s">
        <v>563</v>
      </c>
      <c r="D12" s="1" t="b">
        <v>0</v>
      </c>
      <c r="E12" t="str">
        <f t="shared" si="0"/>
        <v>Previous Comulative kWh-Rate C Reading</v>
      </c>
      <c r="I12" s="21" t="s">
        <v>655</v>
      </c>
      <c r="J12" s="27" t="s">
        <v>911</v>
      </c>
      <c r="K12" s="21"/>
    </row>
    <row r="13" spans="1:11" x14ac:dyDescent="0.3">
      <c r="A13" s="31">
        <v>7025</v>
      </c>
      <c r="B13" s="32" t="s">
        <v>658</v>
      </c>
      <c r="C13" s="30" t="s">
        <v>564</v>
      </c>
      <c r="D13" s="31">
        <v>12</v>
      </c>
      <c r="E13" t="e">
        <f t="shared" si="0"/>
        <v>#N/A</v>
      </c>
      <c r="I13" s="21" t="s">
        <v>656</v>
      </c>
      <c r="J13" s="27" t="s">
        <v>912</v>
      </c>
      <c r="K13" s="21"/>
    </row>
    <row r="14" spans="1:11" x14ac:dyDescent="0.3">
      <c r="A14" s="1">
        <v>7027</v>
      </c>
      <c r="B14" s="16" t="s">
        <v>659</v>
      </c>
      <c r="C14" t="s">
        <v>565</v>
      </c>
      <c r="D14" s="1" t="b">
        <v>0</v>
      </c>
      <c r="E14" t="e">
        <f t="shared" si="0"/>
        <v>#N/A</v>
      </c>
      <c r="I14" s="21" t="s">
        <v>657</v>
      </c>
      <c r="J14" s="27" t="s">
        <v>913</v>
      </c>
      <c r="K14" s="21"/>
    </row>
    <row r="15" spans="1:11" x14ac:dyDescent="0.3">
      <c r="A15" s="1">
        <v>7029</v>
      </c>
      <c r="B15" s="16" t="s">
        <v>660</v>
      </c>
      <c r="C15" t="s">
        <v>566</v>
      </c>
      <c r="D15" s="1" t="b">
        <v>0</v>
      </c>
      <c r="E15" t="e">
        <f t="shared" si="0"/>
        <v>#N/A</v>
      </c>
      <c r="I15" s="21" t="s">
        <v>675</v>
      </c>
      <c r="J15" s="27" t="s">
        <v>914</v>
      </c>
      <c r="K15" s="21"/>
    </row>
    <row r="16" spans="1:11" x14ac:dyDescent="0.3">
      <c r="A16" s="1">
        <v>7031</v>
      </c>
      <c r="B16" s="16" t="s">
        <v>661</v>
      </c>
      <c r="C16" t="s">
        <v>567</v>
      </c>
      <c r="D16" s="1" t="b">
        <v>0</v>
      </c>
      <c r="E16" t="e">
        <f t="shared" si="0"/>
        <v>#N/A</v>
      </c>
      <c r="I16" s="21" t="s">
        <v>728</v>
      </c>
      <c r="J16" s="28" t="s">
        <v>915</v>
      </c>
      <c r="K16" s="21"/>
    </row>
    <row r="17" spans="1:11" x14ac:dyDescent="0.3">
      <c r="A17" s="1">
        <v>7033</v>
      </c>
      <c r="B17" s="16" t="s">
        <v>662</v>
      </c>
      <c r="C17" t="s">
        <v>568</v>
      </c>
      <c r="D17" s="1" t="b">
        <v>0</v>
      </c>
      <c r="E17" t="e">
        <f t="shared" si="0"/>
        <v>#N/A</v>
      </c>
      <c r="I17" s="21" t="s">
        <v>730</v>
      </c>
      <c r="J17" s="29" t="s">
        <v>916</v>
      </c>
      <c r="K17" s="21"/>
    </row>
    <row r="18" spans="1:11" x14ac:dyDescent="0.3">
      <c r="A18" s="1">
        <v>7035</v>
      </c>
      <c r="B18" s="16" t="s">
        <v>663</v>
      </c>
      <c r="C18" t="s">
        <v>569</v>
      </c>
      <c r="D18" s="1" t="b">
        <v>0</v>
      </c>
      <c r="E18" t="e">
        <f t="shared" si="0"/>
        <v>#N/A</v>
      </c>
    </row>
    <row r="19" spans="1:11" x14ac:dyDescent="0.3">
      <c r="A19" s="1">
        <v>7037</v>
      </c>
      <c r="B19" s="16" t="s">
        <v>664</v>
      </c>
      <c r="C19" t="s">
        <v>570</v>
      </c>
      <c r="D19" s="1" t="b">
        <v>0</v>
      </c>
      <c r="E19" t="e">
        <f t="shared" si="0"/>
        <v>#N/A</v>
      </c>
    </row>
    <row r="20" spans="1:11" x14ac:dyDescent="0.3">
      <c r="A20" s="1">
        <v>7039</v>
      </c>
      <c r="B20" s="16" t="s">
        <v>665</v>
      </c>
      <c r="C20" t="s">
        <v>571</v>
      </c>
      <c r="D20" s="1" t="b">
        <v>0</v>
      </c>
      <c r="E20" t="e">
        <f t="shared" si="0"/>
        <v>#N/A</v>
      </c>
    </row>
    <row r="21" spans="1:11" x14ac:dyDescent="0.3">
      <c r="A21" s="1">
        <v>7041</v>
      </c>
      <c r="B21" s="16" t="s">
        <v>666</v>
      </c>
      <c r="C21" t="s">
        <v>572</v>
      </c>
      <c r="D21" s="1" t="b">
        <v>0</v>
      </c>
      <c r="E21" t="e">
        <f t="shared" si="0"/>
        <v>#N/A</v>
      </c>
    </row>
    <row r="22" spans="1:11" x14ac:dyDescent="0.3">
      <c r="A22" s="1">
        <v>7043</v>
      </c>
      <c r="B22" s="16" t="s">
        <v>667</v>
      </c>
      <c r="C22" t="s">
        <v>573</v>
      </c>
      <c r="D22" s="1" t="b">
        <v>0</v>
      </c>
      <c r="E22" t="e">
        <f t="shared" si="0"/>
        <v>#N/A</v>
      </c>
    </row>
    <row r="23" spans="1:11" x14ac:dyDescent="0.3">
      <c r="A23" s="31">
        <v>7045</v>
      </c>
      <c r="B23" s="32" t="s">
        <v>668</v>
      </c>
      <c r="C23" s="30" t="s">
        <v>574</v>
      </c>
      <c r="D23" s="31">
        <v>22</v>
      </c>
      <c r="E23" t="str">
        <f t="shared" si="0"/>
        <v>Previous kWh Total Reading(Reset)</v>
      </c>
    </row>
    <row r="24" spans="1:11" x14ac:dyDescent="0.3">
      <c r="A24" s="31">
        <v>7047</v>
      </c>
      <c r="B24" s="32" t="s">
        <v>669</v>
      </c>
      <c r="C24" s="30" t="s">
        <v>575</v>
      </c>
      <c r="D24" s="31">
        <v>23</v>
      </c>
      <c r="E24" t="str">
        <f t="shared" si="0"/>
        <v>Previous kWh Rate A Reading(Reset)</v>
      </c>
    </row>
    <row r="25" spans="1:11" x14ac:dyDescent="0.3">
      <c r="A25" s="31">
        <v>7049</v>
      </c>
      <c r="B25" s="32" t="s">
        <v>670</v>
      </c>
      <c r="C25" s="30" t="s">
        <v>576</v>
      </c>
      <c r="D25" s="31">
        <v>24</v>
      </c>
      <c r="E25" t="str">
        <f t="shared" si="0"/>
        <v>Previous kWh Rate B Reading(Reset)</v>
      </c>
    </row>
    <row r="26" spans="1:11" x14ac:dyDescent="0.3">
      <c r="A26" s="31">
        <v>7051</v>
      </c>
      <c r="B26" s="32" t="s">
        <v>671</v>
      </c>
      <c r="C26" s="30" t="s">
        <v>577</v>
      </c>
      <c r="D26" s="31">
        <v>25</v>
      </c>
      <c r="E26" t="str">
        <f t="shared" si="0"/>
        <v>Previous kWh Rate C Reading(Reset)</v>
      </c>
    </row>
    <row r="27" spans="1:11" x14ac:dyDescent="0.3">
      <c r="A27" s="1">
        <v>7053</v>
      </c>
      <c r="B27" s="16" t="s">
        <v>672</v>
      </c>
      <c r="C27" t="s">
        <v>578</v>
      </c>
      <c r="D27" s="1" t="b">
        <v>0</v>
      </c>
      <c r="E27" t="str">
        <f t="shared" si="0"/>
        <v>Previous kWp Rate A Reading(Reset)</v>
      </c>
    </row>
    <row r="28" spans="1:11" x14ac:dyDescent="0.3">
      <c r="A28" s="1">
        <v>7055</v>
      </c>
      <c r="B28" s="16" t="s">
        <v>673</v>
      </c>
      <c r="C28" t="s">
        <v>579</v>
      </c>
      <c r="D28" s="1" t="b">
        <v>0</v>
      </c>
      <c r="E28" t="str">
        <f t="shared" si="0"/>
        <v>Previous kWp Rate B Reading(Reset)</v>
      </c>
    </row>
    <row r="29" spans="1:11" x14ac:dyDescent="0.3">
      <c r="A29" s="1">
        <v>7057</v>
      </c>
      <c r="B29" s="16" t="s">
        <v>674</v>
      </c>
      <c r="C29" t="s">
        <v>580</v>
      </c>
      <c r="D29" s="1" t="b">
        <v>0</v>
      </c>
      <c r="E29" t="str">
        <f t="shared" si="0"/>
        <v>Previous kWp Rate C Reading(Reset)</v>
      </c>
    </row>
    <row r="30" spans="1:11" x14ac:dyDescent="0.3">
      <c r="A30" s="31">
        <v>7059</v>
      </c>
      <c r="B30" s="32" t="s">
        <v>655</v>
      </c>
      <c r="C30" s="30" t="s">
        <v>561</v>
      </c>
      <c r="D30" s="31">
        <v>29</v>
      </c>
      <c r="E30" t="str">
        <f t="shared" si="0"/>
        <v>Previous Comulative kWh-Rate A Reading</v>
      </c>
    </row>
    <row r="31" spans="1:11" x14ac:dyDescent="0.3">
      <c r="A31" s="31">
        <v>7061</v>
      </c>
      <c r="B31" s="32" t="s">
        <v>656</v>
      </c>
      <c r="C31" s="30" t="s">
        <v>562</v>
      </c>
      <c r="D31" s="31">
        <v>30</v>
      </c>
      <c r="E31" t="str">
        <f t="shared" si="0"/>
        <v>Previous Comulative kWh-Rate B Reading</v>
      </c>
    </row>
    <row r="32" spans="1:11" x14ac:dyDescent="0.3">
      <c r="A32" s="31">
        <v>7063</v>
      </c>
      <c r="B32" s="32" t="s">
        <v>657</v>
      </c>
      <c r="C32" s="30" t="s">
        <v>563</v>
      </c>
      <c r="D32" s="31">
        <v>31</v>
      </c>
      <c r="E32" t="str">
        <f t="shared" si="0"/>
        <v>Previous Comulative kWh-Rate C Reading</v>
      </c>
    </row>
    <row r="33" spans="1:5" x14ac:dyDescent="0.3">
      <c r="A33" s="31">
        <v>7065</v>
      </c>
      <c r="B33" s="32" t="s">
        <v>675</v>
      </c>
      <c r="C33" s="30" t="s">
        <v>581</v>
      </c>
      <c r="D33" s="31">
        <v>32</v>
      </c>
      <c r="E33" t="str">
        <f t="shared" si="0"/>
        <v>Previous total of kVarh total  Reading(Reset)</v>
      </c>
    </row>
    <row r="34" spans="1:5" x14ac:dyDescent="0.3">
      <c r="A34" s="1">
        <v>7067</v>
      </c>
      <c r="B34" s="16" t="s">
        <v>676</v>
      </c>
      <c r="C34" t="s">
        <v>582</v>
      </c>
      <c r="D34" s="1" t="b">
        <v>0</v>
      </c>
      <c r="E34" t="e">
        <f t="shared" si="0"/>
        <v>#N/A</v>
      </c>
    </row>
    <row r="35" spans="1:5" x14ac:dyDescent="0.3">
      <c r="A35" s="1">
        <v>7069</v>
      </c>
      <c r="B35" s="16" t="s">
        <v>658</v>
      </c>
      <c r="C35" t="s">
        <v>583</v>
      </c>
      <c r="D35" s="1" t="b">
        <v>0</v>
      </c>
      <c r="E35" t="e">
        <f t="shared" si="0"/>
        <v>#N/A</v>
      </c>
    </row>
    <row r="36" spans="1:5" x14ac:dyDescent="0.3">
      <c r="A36" s="31">
        <v>7071</v>
      </c>
      <c r="B36" s="32" t="s">
        <v>677</v>
      </c>
      <c r="C36" s="30" t="s">
        <v>584</v>
      </c>
      <c r="D36" s="31" t="b">
        <v>0</v>
      </c>
      <c r="E36" t="e">
        <f t="shared" si="0"/>
        <v>#N/A</v>
      </c>
    </row>
    <row r="37" spans="1:5" x14ac:dyDescent="0.3">
      <c r="A37" s="31">
        <v>7073</v>
      </c>
      <c r="B37" s="32" t="s">
        <v>678</v>
      </c>
      <c r="C37" s="30" t="s">
        <v>585</v>
      </c>
      <c r="D37" s="31" t="b">
        <v>0</v>
      </c>
      <c r="E37" t="e">
        <f t="shared" si="0"/>
        <v>#N/A</v>
      </c>
    </row>
    <row r="38" spans="1:5" x14ac:dyDescent="0.3">
      <c r="A38" s="31">
        <v>7075</v>
      </c>
      <c r="B38" s="32" t="s">
        <v>679</v>
      </c>
      <c r="C38" s="30" t="s">
        <v>586</v>
      </c>
      <c r="D38" s="31" t="b">
        <v>0</v>
      </c>
      <c r="E38" t="e">
        <f t="shared" si="0"/>
        <v>#N/A</v>
      </c>
    </row>
    <row r="39" spans="1:5" x14ac:dyDescent="0.3">
      <c r="A39" s="31">
        <v>7077</v>
      </c>
      <c r="B39" s="32" t="s">
        <v>680</v>
      </c>
      <c r="C39" s="30" t="s">
        <v>587</v>
      </c>
      <c r="D39" s="31" t="b">
        <v>0</v>
      </c>
      <c r="E39" t="e">
        <f t="shared" si="0"/>
        <v>#N/A</v>
      </c>
    </row>
    <row r="40" spans="1:5" x14ac:dyDescent="0.3">
      <c r="A40" s="31">
        <v>7079</v>
      </c>
      <c r="B40" s="32" t="s">
        <v>681</v>
      </c>
      <c r="C40" s="30" t="s">
        <v>588</v>
      </c>
      <c r="D40" s="31" t="b">
        <v>0</v>
      </c>
      <c r="E40" t="e">
        <f t="shared" si="0"/>
        <v>#N/A</v>
      </c>
    </row>
    <row r="41" spans="1:5" x14ac:dyDescent="0.3">
      <c r="A41" s="31">
        <v>7081</v>
      </c>
      <c r="B41" s="32" t="s">
        <v>682</v>
      </c>
      <c r="C41" s="30" t="s">
        <v>589</v>
      </c>
      <c r="D41" s="31" t="b">
        <v>0</v>
      </c>
      <c r="E41" t="e">
        <f t="shared" si="0"/>
        <v>#N/A</v>
      </c>
    </row>
    <row r="42" spans="1:5" x14ac:dyDescent="0.3">
      <c r="A42" s="1">
        <v>7083</v>
      </c>
      <c r="B42" s="16" t="s">
        <v>683</v>
      </c>
      <c r="C42" t="s">
        <v>590</v>
      </c>
      <c r="D42" s="1" t="b">
        <v>0</v>
      </c>
      <c r="E42" t="e">
        <f t="shared" si="0"/>
        <v>#N/A</v>
      </c>
    </row>
    <row r="43" spans="1:5" x14ac:dyDescent="0.3">
      <c r="A43" s="1">
        <v>7085</v>
      </c>
      <c r="B43" s="16" t="s">
        <v>684</v>
      </c>
      <c r="C43" t="s">
        <v>591</v>
      </c>
      <c r="D43" s="1" t="b">
        <v>0</v>
      </c>
      <c r="E43" t="e">
        <f t="shared" si="0"/>
        <v>#N/A</v>
      </c>
    </row>
    <row r="44" spans="1:5" x14ac:dyDescent="0.3">
      <c r="A44" s="1">
        <v>7087</v>
      </c>
      <c r="B44" s="16" t="s">
        <v>685</v>
      </c>
      <c r="C44" t="s">
        <v>592</v>
      </c>
      <c r="D44" s="1" t="b">
        <v>0</v>
      </c>
      <c r="E44" t="e">
        <f t="shared" si="0"/>
        <v>#N/A</v>
      </c>
    </row>
    <row r="45" spans="1:5" x14ac:dyDescent="0.3">
      <c r="A45" s="1">
        <v>7089</v>
      </c>
      <c r="B45" s="16" t="s">
        <v>686</v>
      </c>
      <c r="C45" t="s">
        <v>593</v>
      </c>
      <c r="D45" s="1" t="b">
        <v>0</v>
      </c>
      <c r="E45" t="e">
        <f t="shared" si="0"/>
        <v>#N/A</v>
      </c>
    </row>
    <row r="46" spans="1:5" x14ac:dyDescent="0.3">
      <c r="A46" s="1">
        <v>7091</v>
      </c>
      <c r="B46" s="16" t="s">
        <v>687</v>
      </c>
      <c r="C46" t="s">
        <v>594</v>
      </c>
      <c r="D46" s="1" t="b">
        <v>0</v>
      </c>
      <c r="E46" t="e">
        <f t="shared" si="0"/>
        <v>#N/A</v>
      </c>
    </row>
    <row r="47" spans="1:5" x14ac:dyDescent="0.3">
      <c r="A47" s="1">
        <v>7093</v>
      </c>
      <c r="B47" s="16" t="s">
        <v>688</v>
      </c>
      <c r="C47" t="s">
        <v>595</v>
      </c>
      <c r="D47" s="1" t="b">
        <v>0</v>
      </c>
      <c r="E47" t="e">
        <f t="shared" si="0"/>
        <v>#N/A</v>
      </c>
    </row>
    <row r="48" spans="1:5" x14ac:dyDescent="0.3">
      <c r="A48" s="1">
        <v>7095</v>
      </c>
      <c r="B48" s="16" t="s">
        <v>689</v>
      </c>
      <c r="C48" t="s">
        <v>596</v>
      </c>
      <c r="D48" s="1" t="b">
        <v>0</v>
      </c>
      <c r="E48" t="e">
        <f t="shared" si="0"/>
        <v>#N/A</v>
      </c>
    </row>
    <row r="49" spans="1:5" x14ac:dyDescent="0.3">
      <c r="A49" s="1">
        <v>7097</v>
      </c>
      <c r="B49" s="16" t="s">
        <v>690</v>
      </c>
      <c r="C49" t="s">
        <v>597</v>
      </c>
      <c r="D49" s="1" t="b">
        <v>0</v>
      </c>
      <c r="E49" t="e">
        <f t="shared" si="0"/>
        <v>#N/A</v>
      </c>
    </row>
    <row r="50" spans="1:5" x14ac:dyDescent="0.3">
      <c r="A50" s="1">
        <v>7099</v>
      </c>
      <c r="B50" s="16" t="s">
        <v>691</v>
      </c>
      <c r="C50" t="s">
        <v>598</v>
      </c>
      <c r="D50" s="1" t="b">
        <v>0</v>
      </c>
      <c r="E50" t="e">
        <f t="shared" si="0"/>
        <v>#N/A</v>
      </c>
    </row>
    <row r="51" spans="1:5" x14ac:dyDescent="0.3">
      <c r="A51" s="1">
        <v>7101</v>
      </c>
      <c r="B51" s="16" t="s">
        <v>692</v>
      </c>
      <c r="C51" t="s">
        <v>599</v>
      </c>
      <c r="D51" s="1" t="b">
        <v>0</v>
      </c>
      <c r="E51" t="e">
        <f t="shared" si="0"/>
        <v>#N/A</v>
      </c>
    </row>
    <row r="52" spans="1:5" x14ac:dyDescent="0.3">
      <c r="A52" s="1">
        <v>7103</v>
      </c>
      <c r="B52" s="16" t="s">
        <v>693</v>
      </c>
      <c r="C52" t="s">
        <v>600</v>
      </c>
      <c r="D52" s="1" t="b">
        <v>0</v>
      </c>
      <c r="E52" t="e">
        <f t="shared" si="0"/>
        <v>#N/A</v>
      </c>
    </row>
    <row r="53" spans="1:5" x14ac:dyDescent="0.3">
      <c r="A53" s="1">
        <v>7105</v>
      </c>
      <c r="B53" s="16" t="s">
        <v>694</v>
      </c>
      <c r="C53" t="s">
        <v>601</v>
      </c>
      <c r="D53" s="1" t="b">
        <v>0</v>
      </c>
      <c r="E53" t="e">
        <f t="shared" si="0"/>
        <v>#N/A</v>
      </c>
    </row>
    <row r="54" spans="1:5" x14ac:dyDescent="0.3">
      <c r="A54" s="1">
        <v>7107</v>
      </c>
      <c r="B54" s="16" t="s">
        <v>695</v>
      </c>
      <c r="C54" t="s">
        <v>602</v>
      </c>
      <c r="D54" s="1" t="b">
        <v>0</v>
      </c>
      <c r="E54" t="e">
        <f t="shared" si="0"/>
        <v>#N/A</v>
      </c>
    </row>
    <row r="55" spans="1:5" x14ac:dyDescent="0.3">
      <c r="A55" s="1">
        <v>7109</v>
      </c>
      <c r="B55" s="16" t="s">
        <v>696</v>
      </c>
      <c r="C55" t="s">
        <v>603</v>
      </c>
      <c r="D55" s="1" t="b">
        <v>0</v>
      </c>
      <c r="E55" t="e">
        <f t="shared" si="0"/>
        <v>#N/A</v>
      </c>
    </row>
    <row r="56" spans="1:5" x14ac:dyDescent="0.3">
      <c r="A56" s="1">
        <v>7111</v>
      </c>
      <c r="B56" s="16" t="s">
        <v>697</v>
      </c>
      <c r="C56" t="s">
        <v>604</v>
      </c>
      <c r="D56" s="1" t="b">
        <v>0</v>
      </c>
      <c r="E56" t="e">
        <f t="shared" si="0"/>
        <v>#N/A</v>
      </c>
    </row>
    <row r="57" spans="1:5" x14ac:dyDescent="0.3">
      <c r="A57" s="1">
        <v>7113</v>
      </c>
      <c r="B57" s="16" t="s">
        <v>698</v>
      </c>
      <c r="C57" t="s">
        <v>605</v>
      </c>
      <c r="D57" s="1" t="b">
        <v>0</v>
      </c>
      <c r="E57" t="e">
        <f t="shared" si="0"/>
        <v>#N/A</v>
      </c>
    </row>
    <row r="58" spans="1:5" x14ac:dyDescent="0.3">
      <c r="A58" s="31">
        <v>7115</v>
      </c>
      <c r="B58" s="32" t="s">
        <v>699</v>
      </c>
      <c r="C58" s="30" t="s">
        <v>606</v>
      </c>
      <c r="D58" s="31">
        <v>57</v>
      </c>
      <c r="E58" t="e">
        <f t="shared" si="0"/>
        <v>#N/A</v>
      </c>
    </row>
    <row r="59" spans="1:5" x14ac:dyDescent="0.3">
      <c r="A59" s="31">
        <v>7117</v>
      </c>
      <c r="B59" s="32" t="s">
        <v>700</v>
      </c>
      <c r="C59" s="30" t="s">
        <v>607</v>
      </c>
      <c r="D59" s="31">
        <v>58</v>
      </c>
      <c r="E59" t="e">
        <f t="shared" si="0"/>
        <v>#N/A</v>
      </c>
    </row>
    <row r="60" spans="1:5" x14ac:dyDescent="0.3">
      <c r="A60" s="31">
        <v>7119</v>
      </c>
      <c r="B60" s="32" t="s">
        <v>701</v>
      </c>
      <c r="C60" s="30" t="s">
        <v>608</v>
      </c>
      <c r="D60" s="31">
        <v>59</v>
      </c>
      <c r="E60" t="e">
        <f t="shared" si="0"/>
        <v>#N/A</v>
      </c>
    </row>
    <row r="61" spans="1:5" x14ac:dyDescent="0.3">
      <c r="A61" s="1">
        <v>7121</v>
      </c>
      <c r="B61" s="16" t="s">
        <v>702</v>
      </c>
      <c r="C61" t="s">
        <v>609</v>
      </c>
      <c r="D61" s="1" t="b">
        <v>0</v>
      </c>
      <c r="E61" t="e">
        <f t="shared" si="0"/>
        <v>#N/A</v>
      </c>
    </row>
    <row r="62" spans="1:5" x14ac:dyDescent="0.3">
      <c r="A62" s="1">
        <v>7123</v>
      </c>
      <c r="B62" s="16" t="s">
        <v>703</v>
      </c>
      <c r="C62" t="s">
        <v>610</v>
      </c>
      <c r="D62" s="1" t="b">
        <v>0</v>
      </c>
      <c r="E62" t="e">
        <f t="shared" si="0"/>
        <v>#N/A</v>
      </c>
    </row>
    <row r="63" spans="1:5" x14ac:dyDescent="0.3">
      <c r="A63" s="1">
        <v>7125</v>
      </c>
      <c r="B63" s="16" t="s">
        <v>704</v>
      </c>
      <c r="C63" t="s">
        <v>611</v>
      </c>
      <c r="D63" s="1" t="b">
        <v>0</v>
      </c>
      <c r="E63" t="e">
        <f t="shared" si="0"/>
        <v>#N/A</v>
      </c>
    </row>
    <row r="64" spans="1:5" x14ac:dyDescent="0.3">
      <c r="A64" s="31">
        <v>7127</v>
      </c>
      <c r="B64" s="32" t="s">
        <v>705</v>
      </c>
      <c r="C64" s="30" t="s">
        <v>612</v>
      </c>
      <c r="D64" s="31">
        <v>63</v>
      </c>
      <c r="E64" t="e">
        <f t="shared" si="0"/>
        <v>#N/A</v>
      </c>
    </row>
    <row r="65" spans="1:5" x14ac:dyDescent="0.3">
      <c r="A65" s="1">
        <v>7129</v>
      </c>
      <c r="B65" s="16" t="s">
        <v>706</v>
      </c>
      <c r="C65" t="s">
        <v>613</v>
      </c>
      <c r="D65" s="1" t="b">
        <v>0</v>
      </c>
      <c r="E65" t="e">
        <f t="shared" si="0"/>
        <v>#N/A</v>
      </c>
    </row>
    <row r="66" spans="1:5" x14ac:dyDescent="0.3">
      <c r="A66" s="1">
        <v>7131</v>
      </c>
      <c r="B66" s="16" t="s">
        <v>707</v>
      </c>
      <c r="C66" t="s">
        <v>614</v>
      </c>
      <c r="D66" s="1" t="b">
        <v>0</v>
      </c>
      <c r="E66" t="e">
        <f t="shared" ref="E66:E94" si="1">VLOOKUP(B66,$I$1:$K$17,2,0)</f>
        <v>#N/A</v>
      </c>
    </row>
    <row r="67" spans="1:5" x14ac:dyDescent="0.3">
      <c r="A67" s="1">
        <v>7133</v>
      </c>
      <c r="B67" s="16" t="s">
        <v>708</v>
      </c>
      <c r="C67" t="s">
        <v>615</v>
      </c>
      <c r="D67" s="1" t="b">
        <v>0</v>
      </c>
      <c r="E67" t="e">
        <f t="shared" si="1"/>
        <v>#N/A</v>
      </c>
    </row>
    <row r="68" spans="1:5" x14ac:dyDescent="0.3">
      <c r="A68" s="1">
        <v>7135</v>
      </c>
      <c r="B68" s="16" t="s">
        <v>709</v>
      </c>
      <c r="C68" t="s">
        <v>616</v>
      </c>
      <c r="D68" s="1" t="b">
        <v>0</v>
      </c>
      <c r="E68" t="e">
        <f t="shared" si="1"/>
        <v>#N/A</v>
      </c>
    </row>
    <row r="69" spans="1:5" x14ac:dyDescent="0.3">
      <c r="A69" s="1">
        <v>7137</v>
      </c>
      <c r="B69" s="16" t="s">
        <v>710</v>
      </c>
      <c r="C69" t="s">
        <v>617</v>
      </c>
      <c r="D69" s="1" t="b">
        <v>0</v>
      </c>
      <c r="E69" t="e">
        <f t="shared" si="1"/>
        <v>#N/A</v>
      </c>
    </row>
    <row r="70" spans="1:5" x14ac:dyDescent="0.3">
      <c r="A70" s="1">
        <v>7139</v>
      </c>
      <c r="B70" s="16" t="s">
        <v>711</v>
      </c>
      <c r="C70" t="s">
        <v>618</v>
      </c>
      <c r="D70" s="1" t="b">
        <v>0</v>
      </c>
      <c r="E70" t="e">
        <f t="shared" si="1"/>
        <v>#N/A</v>
      </c>
    </row>
    <row r="71" spans="1:5" x14ac:dyDescent="0.3">
      <c r="A71" s="1">
        <v>7141</v>
      </c>
      <c r="B71" s="16" t="s">
        <v>712</v>
      </c>
      <c r="C71" t="s">
        <v>619</v>
      </c>
      <c r="D71" s="1" t="b">
        <v>0</v>
      </c>
      <c r="E71" t="e">
        <f t="shared" si="1"/>
        <v>#N/A</v>
      </c>
    </row>
    <row r="72" spans="1:5" x14ac:dyDescent="0.3">
      <c r="A72" s="1">
        <v>7143</v>
      </c>
      <c r="B72" s="16" t="s">
        <v>713</v>
      </c>
      <c r="C72" t="s">
        <v>620</v>
      </c>
      <c r="D72" s="1" t="b">
        <v>0</v>
      </c>
      <c r="E72" t="e">
        <f t="shared" si="1"/>
        <v>#N/A</v>
      </c>
    </row>
    <row r="73" spans="1:5" x14ac:dyDescent="0.3">
      <c r="A73" s="1">
        <v>7145</v>
      </c>
      <c r="B73" s="16" t="s">
        <v>714</v>
      </c>
      <c r="C73" t="s">
        <v>621</v>
      </c>
      <c r="D73" s="1" t="b">
        <v>0</v>
      </c>
      <c r="E73" t="e">
        <f t="shared" si="1"/>
        <v>#N/A</v>
      </c>
    </row>
    <row r="74" spans="1:5" x14ac:dyDescent="0.3">
      <c r="A74" s="1">
        <v>7147</v>
      </c>
      <c r="B74" s="16" t="s">
        <v>715</v>
      </c>
      <c r="C74" t="s">
        <v>622</v>
      </c>
      <c r="D74" s="1" t="b">
        <v>0</v>
      </c>
      <c r="E74" t="e">
        <f t="shared" si="1"/>
        <v>#N/A</v>
      </c>
    </row>
    <row r="75" spans="1:5" x14ac:dyDescent="0.3">
      <c r="A75" s="1">
        <v>7149</v>
      </c>
      <c r="B75" s="16" t="s">
        <v>716</v>
      </c>
      <c r="C75" t="s">
        <v>623</v>
      </c>
      <c r="D75" s="1" t="b">
        <v>0</v>
      </c>
      <c r="E75" t="e">
        <f t="shared" si="1"/>
        <v>#N/A</v>
      </c>
    </row>
    <row r="76" spans="1:5" x14ac:dyDescent="0.3">
      <c r="A76" s="1">
        <v>7151</v>
      </c>
      <c r="B76" s="16" t="s">
        <v>717</v>
      </c>
      <c r="C76" t="s">
        <v>624</v>
      </c>
      <c r="D76" s="1" t="b">
        <v>0</v>
      </c>
      <c r="E76" t="e">
        <f t="shared" si="1"/>
        <v>#N/A</v>
      </c>
    </row>
    <row r="77" spans="1:5" x14ac:dyDescent="0.3">
      <c r="A77" s="1">
        <v>7153</v>
      </c>
      <c r="B77" s="16" t="s">
        <v>718</v>
      </c>
      <c r="C77" t="s">
        <v>625</v>
      </c>
      <c r="D77" s="1" t="b">
        <v>0</v>
      </c>
      <c r="E77" t="e">
        <f t="shared" si="1"/>
        <v>#N/A</v>
      </c>
    </row>
    <row r="78" spans="1:5" x14ac:dyDescent="0.3">
      <c r="A78" s="1">
        <v>7155</v>
      </c>
      <c r="B78" s="16" t="s">
        <v>719</v>
      </c>
      <c r="C78" t="s">
        <v>626</v>
      </c>
      <c r="D78" s="1" t="b">
        <v>0</v>
      </c>
      <c r="E78" t="e">
        <f t="shared" si="1"/>
        <v>#N/A</v>
      </c>
    </row>
    <row r="79" spans="1:5" x14ac:dyDescent="0.3">
      <c r="A79" s="1">
        <v>7157</v>
      </c>
      <c r="B79" s="16" t="s">
        <v>720</v>
      </c>
      <c r="C79" t="s">
        <v>627</v>
      </c>
      <c r="D79" s="1" t="b">
        <v>0</v>
      </c>
      <c r="E79" t="e">
        <f t="shared" si="1"/>
        <v>#N/A</v>
      </c>
    </row>
    <row r="80" spans="1:5" x14ac:dyDescent="0.3">
      <c r="A80" s="1">
        <v>7159</v>
      </c>
      <c r="B80" s="16" t="s">
        <v>721</v>
      </c>
      <c r="C80" t="s">
        <v>628</v>
      </c>
      <c r="D80" s="1" t="b">
        <v>0</v>
      </c>
      <c r="E80" t="e">
        <f t="shared" si="1"/>
        <v>#N/A</v>
      </c>
    </row>
    <row r="81" spans="1:5" x14ac:dyDescent="0.3">
      <c r="A81" s="1">
        <v>7161</v>
      </c>
      <c r="B81" s="16" t="s">
        <v>722</v>
      </c>
      <c r="C81" t="s">
        <v>629</v>
      </c>
      <c r="D81" s="1" t="b">
        <v>0</v>
      </c>
      <c r="E81" t="e">
        <f t="shared" si="1"/>
        <v>#N/A</v>
      </c>
    </row>
    <row r="82" spans="1:5" x14ac:dyDescent="0.3">
      <c r="A82" s="1">
        <v>7163</v>
      </c>
      <c r="B82" s="16" t="s">
        <v>723</v>
      </c>
      <c r="C82" t="s">
        <v>630</v>
      </c>
      <c r="D82" s="1" t="b">
        <v>0</v>
      </c>
      <c r="E82" t="e">
        <f t="shared" si="1"/>
        <v>#N/A</v>
      </c>
    </row>
    <row r="83" spans="1:5" x14ac:dyDescent="0.3">
      <c r="A83" s="1">
        <v>7165</v>
      </c>
      <c r="B83" s="16" t="s">
        <v>724</v>
      </c>
      <c r="C83" t="s">
        <v>631</v>
      </c>
      <c r="D83" s="1" t="b">
        <v>0</v>
      </c>
      <c r="E83" t="e">
        <f t="shared" si="1"/>
        <v>#N/A</v>
      </c>
    </row>
    <row r="84" spans="1:5" x14ac:dyDescent="0.3">
      <c r="A84" s="1">
        <v>7167</v>
      </c>
      <c r="B84" s="16" t="s">
        <v>675</v>
      </c>
      <c r="C84" t="s">
        <v>917</v>
      </c>
      <c r="D84" s="1" t="b">
        <v>0</v>
      </c>
      <c r="E84" t="str">
        <f t="shared" si="1"/>
        <v>Previous total of kVarh total  Reading(Reset)</v>
      </c>
    </row>
    <row r="85" spans="1:5" x14ac:dyDescent="0.3">
      <c r="A85" s="1">
        <v>7169</v>
      </c>
      <c r="B85" s="16" t="s">
        <v>726</v>
      </c>
      <c r="C85" t="s">
        <v>633</v>
      </c>
      <c r="D85" s="1" t="b">
        <v>0</v>
      </c>
      <c r="E85" t="e">
        <f t="shared" si="1"/>
        <v>#N/A</v>
      </c>
    </row>
    <row r="86" spans="1:5" x14ac:dyDescent="0.3">
      <c r="A86" s="1">
        <v>7171</v>
      </c>
      <c r="B86" s="16" t="s">
        <v>705</v>
      </c>
      <c r="C86" t="s">
        <v>634</v>
      </c>
      <c r="D86" s="1" t="b">
        <v>0</v>
      </c>
      <c r="E86" t="e">
        <f t="shared" si="1"/>
        <v>#N/A</v>
      </c>
    </row>
    <row r="87" spans="1:5" x14ac:dyDescent="0.3">
      <c r="A87" s="1">
        <v>7173</v>
      </c>
      <c r="B87" s="16" t="s">
        <v>727</v>
      </c>
      <c r="C87" t="s">
        <v>635</v>
      </c>
      <c r="D87" s="1" t="e">
        <v>#N/A</v>
      </c>
      <c r="E87" t="e">
        <f t="shared" si="1"/>
        <v>#N/A</v>
      </c>
    </row>
    <row r="88" spans="1:5" x14ac:dyDescent="0.3">
      <c r="A88" s="31">
        <v>7175</v>
      </c>
      <c r="B88" s="32" t="s">
        <v>728</v>
      </c>
      <c r="C88" s="30" t="s">
        <v>636</v>
      </c>
      <c r="D88" s="31">
        <v>89</v>
      </c>
      <c r="E88" t="str">
        <f t="shared" si="1"/>
        <v>Previous kVar demand Total Reading(Reset)</v>
      </c>
    </row>
    <row r="89" spans="1:5" x14ac:dyDescent="0.3">
      <c r="A89" s="1">
        <v>7177</v>
      </c>
      <c r="B89" s="16" t="s">
        <v>729</v>
      </c>
      <c r="C89" t="s">
        <v>637</v>
      </c>
      <c r="D89" s="1" t="e">
        <v>#N/A</v>
      </c>
      <c r="E89" t="e">
        <f t="shared" si="1"/>
        <v>#N/A</v>
      </c>
    </row>
    <row r="90" spans="1:5" x14ac:dyDescent="0.3">
      <c r="A90" s="31">
        <v>7181</v>
      </c>
      <c r="B90" s="32" t="s">
        <v>730</v>
      </c>
      <c r="C90" s="30" t="s">
        <v>638</v>
      </c>
      <c r="D90" s="31">
        <v>90</v>
      </c>
      <c r="E90" t="str">
        <f t="shared" si="1"/>
        <v>Previous Comulative kVarh demand Total Reading(Reset)</v>
      </c>
    </row>
    <row r="91" spans="1:5" x14ac:dyDescent="0.3">
      <c r="A91" s="31">
        <v>7183</v>
      </c>
      <c r="B91" s="32" t="s">
        <v>639</v>
      </c>
      <c r="C91" s="30" t="s">
        <v>640</v>
      </c>
      <c r="D91" s="31">
        <v>91</v>
      </c>
      <c r="E91" t="str">
        <f t="shared" si="1"/>
        <v>PreviousTimes of Reset</v>
      </c>
    </row>
    <row r="92" spans="1:5" x14ac:dyDescent="0.3">
      <c r="A92" s="1">
        <v>7185</v>
      </c>
      <c r="B92" s="16" t="s">
        <v>731</v>
      </c>
      <c r="C92" t="s">
        <v>641</v>
      </c>
      <c r="D92" s="1" t="e">
        <v>#N/A</v>
      </c>
      <c r="E92" t="e">
        <f t="shared" si="1"/>
        <v>#N/A</v>
      </c>
    </row>
    <row r="93" spans="1:5" x14ac:dyDescent="0.3">
      <c r="A93" s="1">
        <v>7189</v>
      </c>
      <c r="B93" s="16" t="s">
        <v>732</v>
      </c>
      <c r="C93" t="s">
        <v>642</v>
      </c>
      <c r="D93" s="1" t="e">
        <v>#N/A</v>
      </c>
      <c r="E93" t="e">
        <f t="shared" si="1"/>
        <v>#N/A</v>
      </c>
    </row>
    <row r="94" spans="1:5" x14ac:dyDescent="0.3">
      <c r="A94" s="1">
        <v>7193</v>
      </c>
      <c r="B94" s="16" t="s">
        <v>733</v>
      </c>
      <c r="C94" t="s">
        <v>643</v>
      </c>
      <c r="D94" s="1" t="e">
        <v>#N/A</v>
      </c>
      <c r="E94" t="e">
        <f t="shared" si="1"/>
        <v>#N/A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C57A-2B02-4AE6-895D-011A0E431CB6}">
  <dimension ref="A1:R98"/>
  <sheetViews>
    <sheetView workbookViewId="0">
      <selection activeCell="B2" sqref="B2:B98"/>
    </sheetView>
  </sheetViews>
  <sheetFormatPr defaultColWidth="6.75" defaultRowHeight="16.5" x14ac:dyDescent="0.3"/>
  <cols>
    <col min="1" max="1" width="18.125" bestFit="1" customWidth="1"/>
    <col min="2" max="2" width="18.125" customWidth="1"/>
    <col min="4" max="4" width="8.875" bestFit="1" customWidth="1"/>
    <col min="5" max="5" width="15.5" bestFit="1" customWidth="1"/>
    <col min="7" max="7" width="11.125" customWidth="1"/>
    <col min="8" max="8" width="9.625" customWidth="1"/>
    <col min="9" max="9" width="18.125" bestFit="1" customWidth="1"/>
  </cols>
  <sheetData>
    <row r="1" spans="1:18" x14ac:dyDescent="0.3">
      <c r="A1" t="s">
        <v>95</v>
      </c>
      <c r="C1" s="45" t="s">
        <v>1078</v>
      </c>
      <c r="D1" s="45"/>
      <c r="E1" s="45"/>
      <c r="F1" s="45"/>
      <c r="G1" s="45" t="s">
        <v>1079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x14ac:dyDescent="0.3">
      <c r="A2" s="1" t="str">
        <f>IF(VLOOKUP(F2,$G$2:$R$96,2,0)="Used",VLOOKUP(F2,$G$2:$R$96,3,0))</f>
        <v>Inst_kW</v>
      </c>
      <c r="B2" s="1">
        <f>IF(VLOOKUP(F2,$G$2:$R$96,2,0)="Used",VLOOKUP(F2,$G$2:$R$96,4,0))</f>
        <v>0</v>
      </c>
      <c r="C2">
        <v>7001</v>
      </c>
      <c r="D2" s="16" t="s">
        <v>646</v>
      </c>
      <c r="E2" t="s">
        <v>552</v>
      </c>
      <c r="F2">
        <f t="shared" ref="F2:F33" si="0">C2-1</f>
        <v>7000</v>
      </c>
      <c r="G2">
        <v>7000</v>
      </c>
      <c r="H2" t="s">
        <v>1018</v>
      </c>
      <c r="I2" t="s">
        <v>923</v>
      </c>
      <c r="J2">
        <v>0</v>
      </c>
      <c r="K2" t="s">
        <v>380</v>
      </c>
      <c r="L2" t="s">
        <v>381</v>
      </c>
      <c r="M2">
        <v>1E-3</v>
      </c>
      <c r="N2">
        <v>0</v>
      </c>
      <c r="O2" t="s">
        <v>923</v>
      </c>
      <c r="P2">
        <v>7000</v>
      </c>
      <c r="Q2">
        <v>3</v>
      </c>
      <c r="R2" t="s">
        <v>421</v>
      </c>
    </row>
    <row r="3" spans="1:18" x14ac:dyDescent="0.3">
      <c r="A3" s="1" t="str">
        <f t="shared" ref="A3:A66" si="1">IF(VLOOKUP(F3,$G$2:$R$96,2,0)="Used",VLOOKUP(F3,$G$2:$R$96,3,0))</f>
        <v>Inst_kVAr</v>
      </c>
      <c r="B3" s="1">
        <f t="shared" ref="B3:B66" si="2">IF(VLOOKUP(F3,$G$2:$R$96,2,0)="Used",VLOOKUP(F3,$G$2:$R$96,4,0))</f>
        <v>1</v>
      </c>
      <c r="C3">
        <v>7003</v>
      </c>
      <c r="D3" s="16" t="s">
        <v>647</v>
      </c>
      <c r="E3" t="s">
        <v>553</v>
      </c>
      <c r="F3">
        <f t="shared" si="0"/>
        <v>7002</v>
      </c>
      <c r="G3">
        <v>7002</v>
      </c>
      <c r="H3" t="s">
        <v>1018</v>
      </c>
      <c r="I3" t="s">
        <v>924</v>
      </c>
      <c r="J3">
        <v>1</v>
      </c>
      <c r="K3" t="s">
        <v>380</v>
      </c>
      <c r="L3" t="s">
        <v>381</v>
      </c>
      <c r="M3">
        <v>1E-3</v>
      </c>
      <c r="N3">
        <v>0</v>
      </c>
      <c r="O3" t="s">
        <v>924</v>
      </c>
      <c r="P3">
        <v>7002</v>
      </c>
      <c r="Q3">
        <v>3</v>
      </c>
      <c r="R3" t="s">
        <v>421</v>
      </c>
    </row>
    <row r="4" spans="1:18" x14ac:dyDescent="0.3">
      <c r="A4" s="1" t="str">
        <f t="shared" si="1"/>
        <v>Ex_Total_kWh</v>
      </c>
      <c r="B4" s="1">
        <f t="shared" si="2"/>
        <v>2</v>
      </c>
      <c r="C4">
        <v>7005</v>
      </c>
      <c r="D4" s="16" t="s">
        <v>648</v>
      </c>
      <c r="E4" t="s">
        <v>554</v>
      </c>
      <c r="F4">
        <f t="shared" si="0"/>
        <v>7004</v>
      </c>
      <c r="G4">
        <v>7004</v>
      </c>
      <c r="H4" t="s">
        <v>1018</v>
      </c>
      <c r="I4" t="s">
        <v>925</v>
      </c>
      <c r="J4">
        <v>2</v>
      </c>
      <c r="K4" t="s">
        <v>380</v>
      </c>
      <c r="L4" t="s">
        <v>381</v>
      </c>
      <c r="M4">
        <v>1E-3</v>
      </c>
      <c r="N4">
        <v>0</v>
      </c>
      <c r="O4" t="s">
        <v>925</v>
      </c>
      <c r="P4">
        <v>7004</v>
      </c>
      <c r="Q4">
        <v>3</v>
      </c>
      <c r="R4" t="s">
        <v>421</v>
      </c>
    </row>
    <row r="5" spans="1:18" x14ac:dyDescent="0.3">
      <c r="A5" s="1" t="str">
        <f t="shared" si="1"/>
        <v>Ex_kWh_RateA</v>
      </c>
      <c r="B5" s="1">
        <f t="shared" si="2"/>
        <v>3</v>
      </c>
      <c r="C5">
        <v>7007</v>
      </c>
      <c r="D5" s="16" t="s">
        <v>649</v>
      </c>
      <c r="E5" t="s">
        <v>555</v>
      </c>
      <c r="F5">
        <f t="shared" si="0"/>
        <v>7006</v>
      </c>
      <c r="G5">
        <v>7006</v>
      </c>
      <c r="H5" t="s">
        <v>1018</v>
      </c>
      <c r="I5" t="s">
        <v>926</v>
      </c>
      <c r="J5">
        <v>3</v>
      </c>
      <c r="K5" t="s">
        <v>380</v>
      </c>
      <c r="L5" t="s">
        <v>381</v>
      </c>
      <c r="M5">
        <v>1E-3</v>
      </c>
      <c r="N5">
        <v>0</v>
      </c>
      <c r="O5" t="s">
        <v>926</v>
      </c>
      <c r="P5">
        <v>7006</v>
      </c>
      <c r="Q5">
        <v>3</v>
      </c>
      <c r="R5" t="s">
        <v>421</v>
      </c>
    </row>
    <row r="6" spans="1:18" x14ac:dyDescent="0.3">
      <c r="A6" s="1" t="str">
        <f t="shared" si="1"/>
        <v>Ex_kWh_RateB</v>
      </c>
      <c r="B6" s="1">
        <f t="shared" si="2"/>
        <v>4</v>
      </c>
      <c r="C6">
        <v>7009</v>
      </c>
      <c r="D6" s="16" t="s">
        <v>650</v>
      </c>
      <c r="E6" t="s">
        <v>556</v>
      </c>
      <c r="F6">
        <f t="shared" si="0"/>
        <v>7008</v>
      </c>
      <c r="G6">
        <v>7008</v>
      </c>
      <c r="H6" t="s">
        <v>1018</v>
      </c>
      <c r="I6" t="s">
        <v>927</v>
      </c>
      <c r="J6">
        <v>4</v>
      </c>
      <c r="K6" t="s">
        <v>380</v>
      </c>
      <c r="L6" t="s">
        <v>381</v>
      </c>
      <c r="M6">
        <v>1E-3</v>
      </c>
      <c r="N6">
        <v>0</v>
      </c>
      <c r="O6" t="s">
        <v>927</v>
      </c>
      <c r="P6">
        <v>7008</v>
      </c>
      <c r="Q6">
        <v>3</v>
      </c>
      <c r="R6" t="s">
        <v>421</v>
      </c>
    </row>
    <row r="7" spans="1:18" x14ac:dyDescent="0.3">
      <c r="A7" s="1" t="str">
        <f t="shared" si="1"/>
        <v>Ex_kWh_RateC</v>
      </c>
      <c r="B7" s="1">
        <f t="shared" si="2"/>
        <v>5</v>
      </c>
      <c r="C7">
        <v>7011</v>
      </c>
      <c r="D7" s="16" t="s">
        <v>651</v>
      </c>
      <c r="E7" t="s">
        <v>557</v>
      </c>
      <c r="F7">
        <f t="shared" si="0"/>
        <v>7010</v>
      </c>
      <c r="G7">
        <v>7010</v>
      </c>
      <c r="H7" t="s">
        <v>1018</v>
      </c>
      <c r="I7" t="s">
        <v>928</v>
      </c>
      <c r="J7">
        <v>5</v>
      </c>
      <c r="K7" t="s">
        <v>380</v>
      </c>
      <c r="L7" t="s">
        <v>381</v>
      </c>
      <c r="M7">
        <v>1E-3</v>
      </c>
      <c r="N7">
        <v>0</v>
      </c>
      <c r="O7" t="s">
        <v>928</v>
      </c>
      <c r="P7">
        <v>7010</v>
      </c>
      <c r="Q7">
        <v>3</v>
      </c>
      <c r="R7" t="s">
        <v>421</v>
      </c>
    </row>
    <row r="8" spans="1:18" x14ac:dyDescent="0.3">
      <c r="A8" s="1" t="b">
        <f t="shared" si="1"/>
        <v>0</v>
      </c>
      <c r="B8" s="1" t="b">
        <f t="shared" si="2"/>
        <v>0</v>
      </c>
      <c r="C8">
        <v>7013</v>
      </c>
      <c r="D8" s="16" t="s">
        <v>652</v>
      </c>
      <c r="E8" t="s">
        <v>558</v>
      </c>
      <c r="F8">
        <f t="shared" si="0"/>
        <v>7012</v>
      </c>
      <c r="G8">
        <v>7012</v>
      </c>
      <c r="I8" t="s">
        <v>929</v>
      </c>
      <c r="J8">
        <v>6</v>
      </c>
      <c r="K8" t="s">
        <v>380</v>
      </c>
      <c r="L8" t="s">
        <v>381</v>
      </c>
      <c r="M8">
        <v>1E-3</v>
      </c>
      <c r="N8">
        <v>0</v>
      </c>
      <c r="O8" t="s">
        <v>929</v>
      </c>
      <c r="P8">
        <v>7012</v>
      </c>
      <c r="Q8">
        <v>3</v>
      </c>
      <c r="R8" t="s">
        <v>421</v>
      </c>
    </row>
    <row r="9" spans="1:18" x14ac:dyDescent="0.3">
      <c r="A9" s="1" t="b">
        <f t="shared" si="1"/>
        <v>0</v>
      </c>
      <c r="B9" s="1" t="b">
        <f t="shared" si="2"/>
        <v>0</v>
      </c>
      <c r="C9">
        <v>7015</v>
      </c>
      <c r="D9" s="16" t="s">
        <v>653</v>
      </c>
      <c r="E9" t="s">
        <v>559</v>
      </c>
      <c r="F9">
        <f t="shared" si="0"/>
        <v>7014</v>
      </c>
      <c r="G9">
        <v>7014</v>
      </c>
      <c r="I9" t="s">
        <v>930</v>
      </c>
      <c r="J9">
        <v>7</v>
      </c>
      <c r="K9" t="s">
        <v>380</v>
      </c>
      <c r="L9" t="s">
        <v>381</v>
      </c>
      <c r="M9">
        <v>1E-3</v>
      </c>
      <c r="N9">
        <v>0</v>
      </c>
      <c r="O9" t="s">
        <v>930</v>
      </c>
      <c r="P9">
        <v>7014</v>
      </c>
      <c r="Q9">
        <v>3</v>
      </c>
      <c r="R9" t="s">
        <v>421</v>
      </c>
    </row>
    <row r="10" spans="1:18" x14ac:dyDescent="0.3">
      <c r="A10" s="1" t="b">
        <f t="shared" si="1"/>
        <v>0</v>
      </c>
      <c r="B10" s="1" t="b">
        <f t="shared" si="2"/>
        <v>0</v>
      </c>
      <c r="C10">
        <v>7017</v>
      </c>
      <c r="D10" s="16" t="s">
        <v>654</v>
      </c>
      <c r="E10" t="s">
        <v>560</v>
      </c>
      <c r="F10">
        <f t="shared" si="0"/>
        <v>7016</v>
      </c>
      <c r="G10">
        <v>7016</v>
      </c>
      <c r="I10" t="s">
        <v>931</v>
      </c>
      <c r="J10">
        <v>8</v>
      </c>
      <c r="K10" t="s">
        <v>380</v>
      </c>
      <c r="L10" t="s">
        <v>381</v>
      </c>
      <c r="M10">
        <v>1E-3</v>
      </c>
      <c r="N10">
        <v>0</v>
      </c>
      <c r="O10" t="s">
        <v>931</v>
      </c>
      <c r="P10">
        <v>7016</v>
      </c>
      <c r="Q10">
        <v>3</v>
      </c>
      <c r="R10" t="s">
        <v>421</v>
      </c>
    </row>
    <row r="11" spans="1:18" x14ac:dyDescent="0.3">
      <c r="A11" s="1" t="b">
        <f t="shared" si="1"/>
        <v>0</v>
      </c>
      <c r="B11" s="1" t="b">
        <f t="shared" si="2"/>
        <v>0</v>
      </c>
      <c r="C11">
        <v>7019</v>
      </c>
      <c r="D11" s="16" t="s">
        <v>655</v>
      </c>
      <c r="E11" t="s">
        <v>561</v>
      </c>
      <c r="F11">
        <f t="shared" si="0"/>
        <v>7018</v>
      </c>
      <c r="G11">
        <v>7018</v>
      </c>
      <c r="I11" t="s">
        <v>932</v>
      </c>
      <c r="J11">
        <v>9</v>
      </c>
      <c r="K11" t="s">
        <v>380</v>
      </c>
      <c r="L11" t="s">
        <v>381</v>
      </c>
      <c r="M11">
        <v>1E-3</v>
      </c>
      <c r="N11">
        <v>0</v>
      </c>
      <c r="O11" t="s">
        <v>932</v>
      </c>
      <c r="P11">
        <v>7018</v>
      </c>
      <c r="Q11">
        <v>3</v>
      </c>
      <c r="R11" t="s">
        <v>421</v>
      </c>
    </row>
    <row r="12" spans="1:18" x14ac:dyDescent="0.3">
      <c r="A12" s="1" t="b">
        <f t="shared" si="1"/>
        <v>0</v>
      </c>
      <c r="B12" s="1" t="b">
        <f t="shared" si="2"/>
        <v>0</v>
      </c>
      <c r="C12">
        <v>7021</v>
      </c>
      <c r="D12" s="16" t="s">
        <v>656</v>
      </c>
      <c r="E12" t="s">
        <v>562</v>
      </c>
      <c r="F12">
        <f t="shared" si="0"/>
        <v>7020</v>
      </c>
      <c r="G12">
        <v>7020</v>
      </c>
      <c r="I12" t="s">
        <v>933</v>
      </c>
      <c r="J12">
        <v>10</v>
      </c>
      <c r="K12" t="s">
        <v>380</v>
      </c>
      <c r="L12" t="s">
        <v>381</v>
      </c>
      <c r="M12">
        <v>1E-3</v>
      </c>
      <c r="N12">
        <v>0</v>
      </c>
      <c r="O12" t="s">
        <v>933</v>
      </c>
      <c r="P12">
        <v>7020</v>
      </c>
      <c r="Q12">
        <v>3</v>
      </c>
      <c r="R12" t="s">
        <v>421</v>
      </c>
    </row>
    <row r="13" spans="1:18" x14ac:dyDescent="0.3">
      <c r="A13" s="1" t="b">
        <f t="shared" si="1"/>
        <v>0</v>
      </c>
      <c r="B13" s="1" t="b">
        <f t="shared" si="2"/>
        <v>0</v>
      </c>
      <c r="C13">
        <v>7023</v>
      </c>
      <c r="D13" s="16" t="s">
        <v>657</v>
      </c>
      <c r="E13" t="s">
        <v>563</v>
      </c>
      <c r="F13">
        <f t="shared" si="0"/>
        <v>7022</v>
      </c>
      <c r="G13">
        <v>7022</v>
      </c>
      <c r="I13" t="s">
        <v>934</v>
      </c>
      <c r="J13">
        <v>11</v>
      </c>
      <c r="K13" t="s">
        <v>380</v>
      </c>
      <c r="L13" t="s">
        <v>381</v>
      </c>
      <c r="M13">
        <v>1E-3</v>
      </c>
      <c r="N13">
        <v>0</v>
      </c>
      <c r="O13" t="s">
        <v>934</v>
      </c>
      <c r="P13">
        <v>7022</v>
      </c>
      <c r="Q13">
        <v>3</v>
      </c>
      <c r="R13" t="s">
        <v>421</v>
      </c>
    </row>
    <row r="14" spans="1:18" x14ac:dyDescent="0.3">
      <c r="A14" s="1" t="str">
        <f t="shared" si="1"/>
        <v>Ex_Total_kVArh</v>
      </c>
      <c r="B14" s="1">
        <f t="shared" si="2"/>
        <v>12</v>
      </c>
      <c r="C14">
        <v>7025</v>
      </c>
      <c r="D14" s="16" t="s">
        <v>658</v>
      </c>
      <c r="E14" t="s">
        <v>564</v>
      </c>
      <c r="F14">
        <f t="shared" si="0"/>
        <v>7024</v>
      </c>
      <c r="G14">
        <v>7024</v>
      </c>
      <c r="H14" t="s">
        <v>1018</v>
      </c>
      <c r="I14" t="s">
        <v>935</v>
      </c>
      <c r="J14">
        <v>12</v>
      </c>
      <c r="K14" t="s">
        <v>380</v>
      </c>
      <c r="L14" t="s">
        <v>381</v>
      </c>
      <c r="M14">
        <v>1E-3</v>
      </c>
      <c r="N14">
        <v>0</v>
      </c>
      <c r="O14" t="s">
        <v>935</v>
      </c>
      <c r="P14">
        <v>7024</v>
      </c>
      <c r="Q14">
        <v>3</v>
      </c>
      <c r="R14" t="s">
        <v>421</v>
      </c>
    </row>
    <row r="15" spans="1:18" x14ac:dyDescent="0.3">
      <c r="A15" s="1" t="b">
        <f t="shared" si="1"/>
        <v>0</v>
      </c>
      <c r="B15" s="1" t="b">
        <f t="shared" si="2"/>
        <v>0</v>
      </c>
      <c r="C15">
        <v>7027</v>
      </c>
      <c r="D15" s="16" t="s">
        <v>659</v>
      </c>
      <c r="E15" t="s">
        <v>565</v>
      </c>
      <c r="F15">
        <f t="shared" si="0"/>
        <v>7026</v>
      </c>
      <c r="G15">
        <v>7026</v>
      </c>
      <c r="I15" t="s">
        <v>936</v>
      </c>
      <c r="J15">
        <v>13</v>
      </c>
      <c r="K15" t="s">
        <v>380</v>
      </c>
      <c r="L15" t="s">
        <v>381</v>
      </c>
      <c r="M15">
        <v>1E-3</v>
      </c>
      <c r="N15">
        <v>0</v>
      </c>
      <c r="O15" t="s">
        <v>936</v>
      </c>
      <c r="P15">
        <v>7026</v>
      </c>
      <c r="Q15">
        <v>3</v>
      </c>
      <c r="R15" t="s">
        <v>421</v>
      </c>
    </row>
    <row r="16" spans="1:18" x14ac:dyDescent="0.3">
      <c r="A16" s="1" t="b">
        <f t="shared" si="1"/>
        <v>0</v>
      </c>
      <c r="B16" s="1" t="b">
        <f t="shared" si="2"/>
        <v>0</v>
      </c>
      <c r="C16">
        <v>7029</v>
      </c>
      <c r="D16" s="16" t="s">
        <v>660</v>
      </c>
      <c r="E16" t="s">
        <v>566</v>
      </c>
      <c r="F16">
        <f t="shared" si="0"/>
        <v>7028</v>
      </c>
      <c r="G16">
        <v>7028</v>
      </c>
      <c r="I16" t="s">
        <v>937</v>
      </c>
      <c r="J16">
        <v>14</v>
      </c>
      <c r="K16" t="s">
        <v>380</v>
      </c>
      <c r="L16" t="s">
        <v>381</v>
      </c>
      <c r="M16">
        <v>1E-3</v>
      </c>
      <c r="N16">
        <v>0</v>
      </c>
      <c r="O16" t="s">
        <v>937</v>
      </c>
      <c r="P16">
        <v>7028</v>
      </c>
      <c r="Q16">
        <v>3</v>
      </c>
      <c r="R16" t="s">
        <v>421</v>
      </c>
    </row>
    <row r="17" spans="1:18" x14ac:dyDescent="0.3">
      <c r="A17" s="1" t="b">
        <f t="shared" si="1"/>
        <v>0</v>
      </c>
      <c r="B17" s="1" t="b">
        <f t="shared" si="2"/>
        <v>0</v>
      </c>
      <c r="C17">
        <v>7031</v>
      </c>
      <c r="D17" s="16" t="s">
        <v>661</v>
      </c>
      <c r="E17" t="s">
        <v>567</v>
      </c>
      <c r="F17">
        <f t="shared" si="0"/>
        <v>7030</v>
      </c>
      <c r="G17">
        <v>7030</v>
      </c>
      <c r="I17" t="s">
        <v>938</v>
      </c>
      <c r="J17">
        <v>15</v>
      </c>
      <c r="K17" t="s">
        <v>380</v>
      </c>
      <c r="L17" t="s">
        <v>381</v>
      </c>
      <c r="M17">
        <v>1E-3</v>
      </c>
      <c r="N17">
        <v>0</v>
      </c>
      <c r="O17" t="s">
        <v>938</v>
      </c>
      <c r="P17">
        <v>7030</v>
      </c>
      <c r="Q17">
        <v>3</v>
      </c>
      <c r="R17" t="s">
        <v>421</v>
      </c>
    </row>
    <row r="18" spans="1:18" x14ac:dyDescent="0.3">
      <c r="A18" s="1" t="b">
        <f t="shared" si="1"/>
        <v>0</v>
      </c>
      <c r="B18" s="1" t="b">
        <f t="shared" si="2"/>
        <v>0</v>
      </c>
      <c r="C18">
        <v>7033</v>
      </c>
      <c r="D18" s="16" t="s">
        <v>662</v>
      </c>
      <c r="E18" t="s">
        <v>568</v>
      </c>
      <c r="F18">
        <f t="shared" si="0"/>
        <v>7032</v>
      </c>
      <c r="G18">
        <v>7032</v>
      </c>
      <c r="I18" t="s">
        <v>939</v>
      </c>
      <c r="J18">
        <v>16</v>
      </c>
      <c r="K18" t="s">
        <v>380</v>
      </c>
      <c r="L18" t="s">
        <v>381</v>
      </c>
      <c r="M18">
        <v>1E-3</v>
      </c>
      <c r="N18">
        <v>0</v>
      </c>
      <c r="O18" t="s">
        <v>939</v>
      </c>
      <c r="P18">
        <v>7032</v>
      </c>
      <c r="Q18">
        <v>3</v>
      </c>
      <c r="R18" t="s">
        <v>421</v>
      </c>
    </row>
    <row r="19" spans="1:18" x14ac:dyDescent="0.3">
      <c r="A19" s="1" t="b">
        <f t="shared" si="1"/>
        <v>0</v>
      </c>
      <c r="B19" s="1" t="b">
        <f t="shared" si="2"/>
        <v>0</v>
      </c>
      <c r="C19">
        <v>7035</v>
      </c>
      <c r="D19" s="16" t="s">
        <v>663</v>
      </c>
      <c r="E19" t="s">
        <v>569</v>
      </c>
      <c r="F19">
        <f t="shared" si="0"/>
        <v>7034</v>
      </c>
      <c r="G19">
        <v>7034</v>
      </c>
      <c r="I19" t="s">
        <v>940</v>
      </c>
      <c r="J19">
        <v>17</v>
      </c>
      <c r="K19" t="s">
        <v>380</v>
      </c>
      <c r="L19" t="s">
        <v>381</v>
      </c>
      <c r="M19">
        <v>1E-3</v>
      </c>
      <c r="N19">
        <v>0</v>
      </c>
      <c r="O19" t="s">
        <v>940</v>
      </c>
      <c r="P19">
        <v>7034</v>
      </c>
      <c r="Q19">
        <v>3</v>
      </c>
      <c r="R19" t="s">
        <v>421</v>
      </c>
    </row>
    <row r="20" spans="1:18" x14ac:dyDescent="0.3">
      <c r="A20" s="1" t="b">
        <f t="shared" si="1"/>
        <v>0</v>
      </c>
      <c r="B20" s="1" t="b">
        <f t="shared" si="2"/>
        <v>0</v>
      </c>
      <c r="C20">
        <v>7037</v>
      </c>
      <c r="D20" s="16" t="s">
        <v>664</v>
      </c>
      <c r="E20" t="s">
        <v>570</v>
      </c>
      <c r="F20">
        <f t="shared" si="0"/>
        <v>7036</v>
      </c>
      <c r="G20">
        <v>7036</v>
      </c>
      <c r="I20" t="s">
        <v>941</v>
      </c>
      <c r="J20">
        <v>18</v>
      </c>
      <c r="K20" t="s">
        <v>380</v>
      </c>
      <c r="L20" t="s">
        <v>381</v>
      </c>
      <c r="M20">
        <v>1E-3</v>
      </c>
      <c r="N20">
        <v>0</v>
      </c>
      <c r="O20" t="s">
        <v>941</v>
      </c>
      <c r="P20">
        <v>7036</v>
      </c>
      <c r="Q20">
        <v>3</v>
      </c>
      <c r="R20" t="s">
        <v>421</v>
      </c>
    </row>
    <row r="21" spans="1:18" x14ac:dyDescent="0.3">
      <c r="A21" s="1" t="b">
        <f t="shared" si="1"/>
        <v>0</v>
      </c>
      <c r="B21" s="1" t="b">
        <f t="shared" si="2"/>
        <v>0</v>
      </c>
      <c r="C21">
        <v>7039</v>
      </c>
      <c r="D21" s="16" t="s">
        <v>665</v>
      </c>
      <c r="E21" t="s">
        <v>571</v>
      </c>
      <c r="F21">
        <f t="shared" si="0"/>
        <v>7038</v>
      </c>
      <c r="G21">
        <v>7038</v>
      </c>
      <c r="I21" t="s">
        <v>942</v>
      </c>
      <c r="J21">
        <v>19</v>
      </c>
      <c r="K21" t="s">
        <v>380</v>
      </c>
      <c r="L21" t="s">
        <v>381</v>
      </c>
      <c r="M21">
        <v>1E-3</v>
      </c>
      <c r="N21">
        <v>0</v>
      </c>
      <c r="O21" t="s">
        <v>942</v>
      </c>
      <c r="P21">
        <v>7038</v>
      </c>
      <c r="Q21">
        <v>3</v>
      </c>
      <c r="R21" t="s">
        <v>421</v>
      </c>
    </row>
    <row r="22" spans="1:18" x14ac:dyDescent="0.3">
      <c r="A22" s="1" t="b">
        <f t="shared" si="1"/>
        <v>0</v>
      </c>
      <c r="B22" s="1" t="b">
        <f t="shared" si="2"/>
        <v>0</v>
      </c>
      <c r="C22">
        <v>7041</v>
      </c>
      <c r="D22" s="16" t="s">
        <v>666</v>
      </c>
      <c r="E22" t="s">
        <v>572</v>
      </c>
      <c r="F22">
        <f t="shared" si="0"/>
        <v>7040</v>
      </c>
      <c r="G22">
        <v>7040</v>
      </c>
      <c r="I22" t="s">
        <v>943</v>
      </c>
      <c r="J22">
        <v>20</v>
      </c>
      <c r="K22" t="s">
        <v>380</v>
      </c>
      <c r="L22" t="s">
        <v>381</v>
      </c>
      <c r="M22">
        <v>1E-3</v>
      </c>
      <c r="N22">
        <v>0</v>
      </c>
      <c r="O22" t="s">
        <v>943</v>
      </c>
      <c r="P22">
        <v>7040</v>
      </c>
      <c r="Q22">
        <v>3</v>
      </c>
      <c r="R22" t="s">
        <v>421</v>
      </c>
    </row>
    <row r="23" spans="1:18" x14ac:dyDescent="0.3">
      <c r="A23" s="1" t="b">
        <f t="shared" si="1"/>
        <v>0</v>
      </c>
      <c r="B23" s="1" t="b">
        <f t="shared" si="2"/>
        <v>0</v>
      </c>
      <c r="C23">
        <v>7043</v>
      </c>
      <c r="D23" s="16" t="s">
        <v>667</v>
      </c>
      <c r="E23" t="s">
        <v>573</v>
      </c>
      <c r="F23">
        <f t="shared" si="0"/>
        <v>7042</v>
      </c>
      <c r="G23">
        <v>7042</v>
      </c>
      <c r="I23" t="s">
        <v>944</v>
      </c>
      <c r="J23">
        <v>21</v>
      </c>
      <c r="K23" t="s">
        <v>380</v>
      </c>
      <c r="L23" t="s">
        <v>381</v>
      </c>
      <c r="M23">
        <v>1E-3</v>
      </c>
      <c r="N23">
        <v>0</v>
      </c>
      <c r="O23" t="s">
        <v>944</v>
      </c>
      <c r="P23">
        <v>7042</v>
      </c>
      <c r="Q23">
        <v>3</v>
      </c>
      <c r="R23" t="s">
        <v>421</v>
      </c>
    </row>
    <row r="24" spans="1:18" x14ac:dyDescent="0.3">
      <c r="A24" s="1" t="b">
        <f t="shared" si="1"/>
        <v>0</v>
      </c>
      <c r="B24" s="1" t="b">
        <f t="shared" si="2"/>
        <v>0</v>
      </c>
      <c r="C24">
        <v>7045</v>
      </c>
      <c r="D24" s="16" t="s">
        <v>668</v>
      </c>
      <c r="E24" t="s">
        <v>574</v>
      </c>
      <c r="F24">
        <f t="shared" si="0"/>
        <v>7044</v>
      </c>
      <c r="G24">
        <v>7044</v>
      </c>
      <c r="I24" t="s">
        <v>945</v>
      </c>
      <c r="J24">
        <v>22</v>
      </c>
      <c r="K24" t="s">
        <v>380</v>
      </c>
      <c r="L24" t="s">
        <v>381</v>
      </c>
      <c r="M24">
        <v>1E-3</v>
      </c>
      <c r="N24">
        <v>0</v>
      </c>
      <c r="O24" t="s">
        <v>945</v>
      </c>
      <c r="P24">
        <v>7044</v>
      </c>
      <c r="Q24">
        <v>3</v>
      </c>
      <c r="R24" t="s">
        <v>421</v>
      </c>
    </row>
    <row r="25" spans="1:18" x14ac:dyDescent="0.3">
      <c r="A25" s="1" t="b">
        <f t="shared" si="1"/>
        <v>0</v>
      </c>
      <c r="B25" s="1" t="b">
        <f t="shared" si="2"/>
        <v>0</v>
      </c>
      <c r="C25">
        <v>7047</v>
      </c>
      <c r="D25" s="16" t="s">
        <v>669</v>
      </c>
      <c r="E25" t="s">
        <v>575</v>
      </c>
      <c r="F25">
        <f t="shared" si="0"/>
        <v>7046</v>
      </c>
      <c r="G25">
        <v>7046</v>
      </c>
      <c r="I25" t="s">
        <v>946</v>
      </c>
      <c r="J25">
        <v>23</v>
      </c>
      <c r="K25" t="s">
        <v>380</v>
      </c>
      <c r="L25" t="s">
        <v>381</v>
      </c>
      <c r="M25">
        <v>1E-3</v>
      </c>
      <c r="N25">
        <v>0</v>
      </c>
      <c r="O25" t="s">
        <v>946</v>
      </c>
      <c r="P25">
        <v>7046</v>
      </c>
      <c r="Q25">
        <v>3</v>
      </c>
      <c r="R25" t="s">
        <v>421</v>
      </c>
    </row>
    <row r="26" spans="1:18" x14ac:dyDescent="0.3">
      <c r="A26" s="1" t="b">
        <f t="shared" si="1"/>
        <v>0</v>
      </c>
      <c r="B26" s="1" t="b">
        <f t="shared" si="2"/>
        <v>0</v>
      </c>
      <c r="C26">
        <v>7049</v>
      </c>
      <c r="D26" s="16" t="s">
        <v>670</v>
      </c>
      <c r="E26" t="s">
        <v>576</v>
      </c>
      <c r="F26">
        <f t="shared" si="0"/>
        <v>7048</v>
      </c>
      <c r="G26">
        <v>7048</v>
      </c>
      <c r="I26" t="s">
        <v>947</v>
      </c>
      <c r="J26">
        <v>24</v>
      </c>
      <c r="K26" t="s">
        <v>380</v>
      </c>
      <c r="L26" t="s">
        <v>381</v>
      </c>
      <c r="M26">
        <v>1E-3</v>
      </c>
      <c r="N26">
        <v>0</v>
      </c>
      <c r="O26" t="s">
        <v>947</v>
      </c>
      <c r="P26">
        <v>7048</v>
      </c>
      <c r="Q26">
        <v>3</v>
      </c>
      <c r="R26" t="s">
        <v>421</v>
      </c>
    </row>
    <row r="27" spans="1:18" x14ac:dyDescent="0.3">
      <c r="A27" s="1" t="b">
        <f t="shared" si="1"/>
        <v>0</v>
      </c>
      <c r="B27" s="1" t="b">
        <f t="shared" si="2"/>
        <v>0</v>
      </c>
      <c r="C27">
        <v>7051</v>
      </c>
      <c r="D27" s="16" t="s">
        <v>671</v>
      </c>
      <c r="E27" t="s">
        <v>577</v>
      </c>
      <c r="F27">
        <f t="shared" si="0"/>
        <v>7050</v>
      </c>
      <c r="G27">
        <v>7050</v>
      </c>
      <c r="I27" t="s">
        <v>948</v>
      </c>
      <c r="J27">
        <v>25</v>
      </c>
      <c r="K27" t="s">
        <v>380</v>
      </c>
      <c r="L27" t="s">
        <v>381</v>
      </c>
      <c r="M27">
        <v>1E-3</v>
      </c>
      <c r="N27">
        <v>0</v>
      </c>
      <c r="O27" t="s">
        <v>948</v>
      </c>
      <c r="P27">
        <v>7050</v>
      </c>
      <c r="Q27">
        <v>3</v>
      </c>
      <c r="R27" t="s">
        <v>421</v>
      </c>
    </row>
    <row r="28" spans="1:18" x14ac:dyDescent="0.3">
      <c r="A28" s="1" t="b">
        <f t="shared" si="1"/>
        <v>0</v>
      </c>
      <c r="B28" s="1" t="b">
        <f t="shared" si="2"/>
        <v>0</v>
      </c>
      <c r="C28">
        <v>7053</v>
      </c>
      <c r="D28" s="16" t="s">
        <v>672</v>
      </c>
      <c r="E28" t="s">
        <v>578</v>
      </c>
      <c r="F28">
        <f t="shared" si="0"/>
        <v>7052</v>
      </c>
      <c r="G28">
        <v>7052</v>
      </c>
      <c r="I28" t="s">
        <v>949</v>
      </c>
      <c r="J28">
        <v>26</v>
      </c>
      <c r="K28" t="s">
        <v>380</v>
      </c>
      <c r="L28" t="s">
        <v>381</v>
      </c>
      <c r="M28">
        <v>1E-3</v>
      </c>
      <c r="N28">
        <v>0</v>
      </c>
      <c r="O28" t="s">
        <v>949</v>
      </c>
      <c r="P28">
        <v>7052</v>
      </c>
      <c r="Q28">
        <v>3</v>
      </c>
      <c r="R28" t="s">
        <v>421</v>
      </c>
    </row>
    <row r="29" spans="1:18" x14ac:dyDescent="0.3">
      <c r="A29" s="1" t="b">
        <f t="shared" si="1"/>
        <v>0</v>
      </c>
      <c r="B29" s="1" t="b">
        <f t="shared" si="2"/>
        <v>0</v>
      </c>
      <c r="C29">
        <v>7055</v>
      </c>
      <c r="D29" s="16" t="s">
        <v>673</v>
      </c>
      <c r="E29" t="s">
        <v>579</v>
      </c>
      <c r="F29">
        <f t="shared" si="0"/>
        <v>7054</v>
      </c>
      <c r="G29">
        <v>7054</v>
      </c>
      <c r="I29" t="s">
        <v>950</v>
      </c>
      <c r="J29">
        <v>27</v>
      </c>
      <c r="K29" t="s">
        <v>380</v>
      </c>
      <c r="L29" t="s">
        <v>381</v>
      </c>
      <c r="M29">
        <v>1E-3</v>
      </c>
      <c r="N29">
        <v>0</v>
      </c>
      <c r="O29" t="s">
        <v>950</v>
      </c>
      <c r="P29">
        <v>7054</v>
      </c>
      <c r="Q29">
        <v>3</v>
      </c>
      <c r="R29" t="s">
        <v>421</v>
      </c>
    </row>
    <row r="30" spans="1:18" x14ac:dyDescent="0.3">
      <c r="A30" s="1" t="b">
        <f t="shared" si="1"/>
        <v>0</v>
      </c>
      <c r="B30" s="1" t="b">
        <f t="shared" si="2"/>
        <v>0</v>
      </c>
      <c r="C30">
        <v>7057</v>
      </c>
      <c r="D30" s="16" t="s">
        <v>674</v>
      </c>
      <c r="E30" t="s">
        <v>580</v>
      </c>
      <c r="F30">
        <f t="shared" si="0"/>
        <v>7056</v>
      </c>
      <c r="G30">
        <v>7056</v>
      </c>
      <c r="I30" t="s">
        <v>951</v>
      </c>
      <c r="J30">
        <v>28</v>
      </c>
      <c r="K30" t="s">
        <v>380</v>
      </c>
      <c r="L30" t="s">
        <v>381</v>
      </c>
      <c r="M30">
        <v>1E-3</v>
      </c>
      <c r="N30">
        <v>0</v>
      </c>
      <c r="O30" t="s">
        <v>951</v>
      </c>
      <c r="P30">
        <v>7056</v>
      </c>
      <c r="Q30">
        <v>3</v>
      </c>
      <c r="R30" t="s">
        <v>421</v>
      </c>
    </row>
    <row r="31" spans="1:18" x14ac:dyDescent="0.3">
      <c r="A31" s="1" t="b">
        <f t="shared" si="1"/>
        <v>0</v>
      </c>
      <c r="B31" s="1" t="b">
        <f t="shared" si="2"/>
        <v>0</v>
      </c>
      <c r="C31">
        <v>7059</v>
      </c>
      <c r="D31" s="16" t="s">
        <v>655</v>
      </c>
      <c r="E31" t="s">
        <v>561</v>
      </c>
      <c r="F31">
        <f t="shared" si="0"/>
        <v>7058</v>
      </c>
      <c r="G31">
        <v>7058</v>
      </c>
      <c r="I31" t="s">
        <v>952</v>
      </c>
      <c r="J31">
        <v>29</v>
      </c>
      <c r="K31" t="s">
        <v>380</v>
      </c>
      <c r="L31" t="s">
        <v>381</v>
      </c>
      <c r="M31">
        <v>1E-3</v>
      </c>
      <c r="N31">
        <v>0</v>
      </c>
      <c r="O31" t="s">
        <v>952</v>
      </c>
      <c r="P31">
        <v>7058</v>
      </c>
      <c r="Q31">
        <v>3</v>
      </c>
      <c r="R31" t="s">
        <v>421</v>
      </c>
    </row>
    <row r="32" spans="1:18" x14ac:dyDescent="0.3">
      <c r="A32" s="1" t="b">
        <f t="shared" si="1"/>
        <v>0</v>
      </c>
      <c r="B32" s="1" t="b">
        <f t="shared" si="2"/>
        <v>0</v>
      </c>
      <c r="C32">
        <v>7061</v>
      </c>
      <c r="D32" s="16" t="s">
        <v>656</v>
      </c>
      <c r="E32" t="s">
        <v>562</v>
      </c>
      <c r="F32">
        <f t="shared" si="0"/>
        <v>7060</v>
      </c>
      <c r="G32">
        <v>7060</v>
      </c>
      <c r="I32" t="s">
        <v>953</v>
      </c>
      <c r="J32">
        <v>30</v>
      </c>
      <c r="K32" t="s">
        <v>380</v>
      </c>
      <c r="L32" t="s">
        <v>381</v>
      </c>
      <c r="M32">
        <v>1E-3</v>
      </c>
      <c r="N32">
        <v>0</v>
      </c>
      <c r="O32" t="s">
        <v>953</v>
      </c>
      <c r="P32">
        <v>7060</v>
      </c>
      <c r="Q32">
        <v>3</v>
      </c>
      <c r="R32" t="s">
        <v>421</v>
      </c>
    </row>
    <row r="33" spans="1:18" x14ac:dyDescent="0.3">
      <c r="A33" s="1" t="b">
        <f t="shared" si="1"/>
        <v>0</v>
      </c>
      <c r="B33" s="1" t="b">
        <f t="shared" si="2"/>
        <v>0</v>
      </c>
      <c r="C33">
        <v>7063</v>
      </c>
      <c r="D33" s="16" t="s">
        <v>657</v>
      </c>
      <c r="E33" t="s">
        <v>563</v>
      </c>
      <c r="F33">
        <f t="shared" si="0"/>
        <v>7062</v>
      </c>
      <c r="G33">
        <v>7062</v>
      </c>
      <c r="I33" t="s">
        <v>954</v>
      </c>
      <c r="J33">
        <v>31</v>
      </c>
      <c r="K33" t="s">
        <v>380</v>
      </c>
      <c r="L33" t="s">
        <v>381</v>
      </c>
      <c r="M33">
        <v>1E-3</v>
      </c>
      <c r="N33">
        <v>0</v>
      </c>
      <c r="O33" t="s">
        <v>954</v>
      </c>
      <c r="P33">
        <v>7062</v>
      </c>
      <c r="Q33">
        <v>3</v>
      </c>
      <c r="R33" t="s">
        <v>421</v>
      </c>
    </row>
    <row r="34" spans="1:18" x14ac:dyDescent="0.3">
      <c r="A34" s="1" t="b">
        <f t="shared" si="1"/>
        <v>0</v>
      </c>
      <c r="B34" s="1" t="b">
        <f t="shared" si="2"/>
        <v>0</v>
      </c>
      <c r="C34">
        <v>7065</v>
      </c>
      <c r="D34" s="16" t="s">
        <v>675</v>
      </c>
      <c r="E34" t="s">
        <v>581</v>
      </c>
      <c r="F34">
        <f t="shared" ref="F34:F66" si="3">C34-1</f>
        <v>7064</v>
      </c>
      <c r="G34">
        <v>7064</v>
      </c>
      <c r="I34" t="s">
        <v>955</v>
      </c>
      <c r="J34">
        <v>32</v>
      </c>
      <c r="K34" t="s">
        <v>380</v>
      </c>
      <c r="L34" t="s">
        <v>381</v>
      </c>
      <c r="M34">
        <v>1E-3</v>
      </c>
      <c r="N34">
        <v>0</v>
      </c>
      <c r="O34" t="s">
        <v>955</v>
      </c>
      <c r="P34">
        <v>7064</v>
      </c>
      <c r="Q34">
        <v>3</v>
      </c>
      <c r="R34" t="s">
        <v>421</v>
      </c>
    </row>
    <row r="35" spans="1:18" x14ac:dyDescent="0.3">
      <c r="A35" s="1" t="b">
        <f t="shared" si="1"/>
        <v>0</v>
      </c>
      <c r="B35" s="1" t="b">
        <f t="shared" si="2"/>
        <v>0</v>
      </c>
      <c r="C35">
        <v>7067</v>
      </c>
      <c r="D35" s="16" t="s">
        <v>676</v>
      </c>
      <c r="E35" t="s">
        <v>582</v>
      </c>
      <c r="F35">
        <f t="shared" si="3"/>
        <v>7066</v>
      </c>
      <c r="G35">
        <v>7066</v>
      </c>
      <c r="I35" t="s">
        <v>956</v>
      </c>
      <c r="J35">
        <v>33</v>
      </c>
      <c r="K35" t="s">
        <v>380</v>
      </c>
      <c r="L35" t="s">
        <v>381</v>
      </c>
      <c r="M35">
        <v>1E-3</v>
      </c>
      <c r="N35">
        <v>0</v>
      </c>
      <c r="O35" t="s">
        <v>956</v>
      </c>
      <c r="P35">
        <v>7066</v>
      </c>
      <c r="Q35">
        <v>3</v>
      </c>
      <c r="R35" t="s">
        <v>421</v>
      </c>
    </row>
    <row r="36" spans="1:18" x14ac:dyDescent="0.3">
      <c r="A36" s="1" t="b">
        <f t="shared" si="1"/>
        <v>0</v>
      </c>
      <c r="B36" s="1" t="b">
        <f t="shared" si="2"/>
        <v>0</v>
      </c>
      <c r="C36">
        <v>7069</v>
      </c>
      <c r="D36" s="16" t="s">
        <v>658</v>
      </c>
      <c r="E36" t="s">
        <v>583</v>
      </c>
      <c r="F36">
        <f t="shared" si="3"/>
        <v>7068</v>
      </c>
      <c r="G36">
        <v>7068</v>
      </c>
      <c r="I36" t="s">
        <v>957</v>
      </c>
      <c r="J36">
        <v>34</v>
      </c>
      <c r="K36" t="s">
        <v>380</v>
      </c>
      <c r="L36" t="s">
        <v>381</v>
      </c>
      <c r="M36">
        <v>1E-3</v>
      </c>
      <c r="N36">
        <v>0</v>
      </c>
      <c r="O36" t="s">
        <v>957</v>
      </c>
      <c r="P36">
        <v>7068</v>
      </c>
      <c r="Q36">
        <v>3</v>
      </c>
      <c r="R36" t="s">
        <v>421</v>
      </c>
    </row>
    <row r="37" spans="1:18" x14ac:dyDescent="0.3">
      <c r="A37" s="1" t="b">
        <f t="shared" si="1"/>
        <v>0</v>
      </c>
      <c r="B37" s="1" t="b">
        <f t="shared" si="2"/>
        <v>0</v>
      </c>
      <c r="C37">
        <v>7071</v>
      </c>
      <c r="D37" s="16" t="s">
        <v>677</v>
      </c>
      <c r="E37" t="s">
        <v>584</v>
      </c>
      <c r="F37">
        <f t="shared" si="3"/>
        <v>7070</v>
      </c>
      <c r="G37">
        <v>7070</v>
      </c>
      <c r="I37" t="s">
        <v>958</v>
      </c>
      <c r="J37">
        <v>35</v>
      </c>
      <c r="K37" t="s">
        <v>380</v>
      </c>
      <c r="L37" t="s">
        <v>381</v>
      </c>
      <c r="M37">
        <v>1</v>
      </c>
      <c r="N37">
        <v>0</v>
      </c>
      <c r="O37" t="s">
        <v>958</v>
      </c>
      <c r="P37">
        <v>7070</v>
      </c>
      <c r="Q37">
        <v>3</v>
      </c>
      <c r="R37" t="s">
        <v>421</v>
      </c>
    </row>
    <row r="38" spans="1:18" x14ac:dyDescent="0.3">
      <c r="A38" s="1" t="b">
        <f t="shared" si="1"/>
        <v>0</v>
      </c>
      <c r="B38" s="1" t="b">
        <f t="shared" si="2"/>
        <v>0</v>
      </c>
      <c r="C38">
        <v>7073</v>
      </c>
      <c r="D38" s="16" t="s">
        <v>678</v>
      </c>
      <c r="E38" t="s">
        <v>585</v>
      </c>
      <c r="F38">
        <f t="shared" si="3"/>
        <v>7072</v>
      </c>
      <c r="G38">
        <v>7072</v>
      </c>
      <c r="I38" t="s">
        <v>959</v>
      </c>
      <c r="J38">
        <v>36</v>
      </c>
      <c r="K38" t="s">
        <v>380</v>
      </c>
      <c r="L38" t="s">
        <v>381</v>
      </c>
      <c r="M38">
        <v>1</v>
      </c>
      <c r="N38">
        <v>0</v>
      </c>
      <c r="O38" t="s">
        <v>959</v>
      </c>
      <c r="P38">
        <v>7072</v>
      </c>
      <c r="Q38">
        <v>3</v>
      </c>
      <c r="R38" t="s">
        <v>421</v>
      </c>
    </row>
    <row r="39" spans="1:18" x14ac:dyDescent="0.3">
      <c r="A39" s="1" t="b">
        <f t="shared" si="1"/>
        <v>0</v>
      </c>
      <c r="B39" s="1" t="b">
        <f t="shared" si="2"/>
        <v>0</v>
      </c>
      <c r="C39">
        <v>7075</v>
      </c>
      <c r="D39" s="16" t="s">
        <v>679</v>
      </c>
      <c r="E39" t="s">
        <v>586</v>
      </c>
      <c r="F39">
        <f t="shared" si="3"/>
        <v>7074</v>
      </c>
      <c r="G39">
        <v>7074</v>
      </c>
      <c r="I39" t="s">
        <v>960</v>
      </c>
      <c r="J39">
        <v>37</v>
      </c>
      <c r="K39" t="s">
        <v>380</v>
      </c>
      <c r="L39" t="s">
        <v>381</v>
      </c>
      <c r="M39">
        <v>1</v>
      </c>
      <c r="N39">
        <v>0</v>
      </c>
      <c r="O39" t="s">
        <v>960</v>
      </c>
      <c r="P39">
        <v>7074</v>
      </c>
      <c r="Q39">
        <v>3</v>
      </c>
      <c r="R39" t="s">
        <v>421</v>
      </c>
    </row>
    <row r="40" spans="1:18" x14ac:dyDescent="0.3">
      <c r="A40" s="1" t="b">
        <f t="shared" si="1"/>
        <v>0</v>
      </c>
      <c r="B40" s="1" t="b">
        <f t="shared" si="2"/>
        <v>0</v>
      </c>
      <c r="C40">
        <v>7077</v>
      </c>
      <c r="D40" s="16" t="s">
        <v>680</v>
      </c>
      <c r="E40" t="s">
        <v>587</v>
      </c>
      <c r="F40">
        <f t="shared" si="3"/>
        <v>7076</v>
      </c>
      <c r="G40">
        <v>7076</v>
      </c>
      <c r="I40" t="s">
        <v>961</v>
      </c>
      <c r="J40">
        <v>38</v>
      </c>
      <c r="K40" t="s">
        <v>380</v>
      </c>
      <c r="L40" t="s">
        <v>381</v>
      </c>
      <c r="M40">
        <v>1</v>
      </c>
      <c r="N40">
        <v>0</v>
      </c>
      <c r="O40" t="s">
        <v>961</v>
      </c>
      <c r="P40">
        <v>7076</v>
      </c>
      <c r="Q40">
        <v>3</v>
      </c>
      <c r="R40" t="s">
        <v>421</v>
      </c>
    </row>
    <row r="41" spans="1:18" x14ac:dyDescent="0.3">
      <c r="A41" s="1" t="b">
        <f t="shared" si="1"/>
        <v>0</v>
      </c>
      <c r="B41" s="1" t="b">
        <f t="shared" si="2"/>
        <v>0</v>
      </c>
      <c r="C41">
        <v>7079</v>
      </c>
      <c r="D41" s="16" t="s">
        <v>681</v>
      </c>
      <c r="E41" t="s">
        <v>588</v>
      </c>
      <c r="F41">
        <f t="shared" si="3"/>
        <v>7078</v>
      </c>
      <c r="G41">
        <v>7078</v>
      </c>
      <c r="I41" t="s">
        <v>962</v>
      </c>
      <c r="J41">
        <v>39</v>
      </c>
      <c r="K41" t="s">
        <v>380</v>
      </c>
      <c r="L41" t="s">
        <v>381</v>
      </c>
      <c r="M41">
        <v>1</v>
      </c>
      <c r="N41">
        <v>0</v>
      </c>
      <c r="O41" t="s">
        <v>962</v>
      </c>
      <c r="P41">
        <v>7078</v>
      </c>
      <c r="Q41">
        <v>3</v>
      </c>
      <c r="R41" t="s">
        <v>421</v>
      </c>
    </row>
    <row r="42" spans="1:18" x14ac:dyDescent="0.3">
      <c r="A42" s="1" t="b">
        <f t="shared" si="1"/>
        <v>0</v>
      </c>
      <c r="B42" s="1" t="b">
        <f t="shared" si="2"/>
        <v>0</v>
      </c>
      <c r="C42">
        <v>7081</v>
      </c>
      <c r="D42" s="16" t="s">
        <v>682</v>
      </c>
      <c r="E42" t="s">
        <v>589</v>
      </c>
      <c r="F42">
        <f t="shared" si="3"/>
        <v>7080</v>
      </c>
      <c r="G42">
        <v>7080</v>
      </c>
      <c r="I42" t="s">
        <v>963</v>
      </c>
      <c r="J42">
        <v>40</v>
      </c>
      <c r="K42" t="s">
        <v>380</v>
      </c>
      <c r="L42" t="s">
        <v>381</v>
      </c>
      <c r="M42">
        <v>1</v>
      </c>
      <c r="N42">
        <v>0</v>
      </c>
      <c r="O42" t="s">
        <v>963</v>
      </c>
      <c r="P42">
        <v>7080</v>
      </c>
      <c r="Q42">
        <v>3</v>
      </c>
      <c r="R42" t="s">
        <v>421</v>
      </c>
    </row>
    <row r="43" spans="1:18" x14ac:dyDescent="0.3">
      <c r="A43" s="1" t="b">
        <f t="shared" si="1"/>
        <v>0</v>
      </c>
      <c r="B43" s="1" t="b">
        <f t="shared" si="2"/>
        <v>0</v>
      </c>
      <c r="C43">
        <v>7083</v>
      </c>
      <c r="D43" s="16" t="s">
        <v>683</v>
      </c>
      <c r="E43" t="s">
        <v>590</v>
      </c>
      <c r="F43">
        <f t="shared" si="3"/>
        <v>7082</v>
      </c>
      <c r="G43">
        <v>7082</v>
      </c>
      <c r="I43" t="s">
        <v>964</v>
      </c>
      <c r="J43">
        <v>41</v>
      </c>
      <c r="K43" t="s">
        <v>380</v>
      </c>
      <c r="L43" t="s">
        <v>381</v>
      </c>
      <c r="M43">
        <v>1</v>
      </c>
      <c r="N43">
        <v>0</v>
      </c>
      <c r="O43" t="s">
        <v>964</v>
      </c>
      <c r="P43">
        <v>7082</v>
      </c>
      <c r="Q43">
        <v>3</v>
      </c>
      <c r="R43" t="s">
        <v>421</v>
      </c>
    </row>
    <row r="44" spans="1:18" x14ac:dyDescent="0.3">
      <c r="A44" s="1" t="b">
        <f t="shared" si="1"/>
        <v>0</v>
      </c>
      <c r="B44" s="1" t="b">
        <f t="shared" si="2"/>
        <v>0</v>
      </c>
      <c r="C44">
        <v>7085</v>
      </c>
      <c r="D44" s="16" t="s">
        <v>684</v>
      </c>
      <c r="E44" t="s">
        <v>591</v>
      </c>
      <c r="F44">
        <f t="shared" si="3"/>
        <v>7084</v>
      </c>
      <c r="G44">
        <v>7084</v>
      </c>
      <c r="I44" t="s">
        <v>965</v>
      </c>
      <c r="J44">
        <v>42</v>
      </c>
      <c r="K44" t="s">
        <v>380</v>
      </c>
      <c r="L44" t="s">
        <v>381</v>
      </c>
      <c r="M44">
        <v>1</v>
      </c>
      <c r="N44">
        <v>0</v>
      </c>
      <c r="O44" t="s">
        <v>965</v>
      </c>
      <c r="P44">
        <v>7084</v>
      </c>
      <c r="Q44">
        <v>3</v>
      </c>
      <c r="R44" t="s">
        <v>421</v>
      </c>
    </row>
    <row r="45" spans="1:18" x14ac:dyDescent="0.3">
      <c r="A45" s="1" t="b">
        <f t="shared" si="1"/>
        <v>0</v>
      </c>
      <c r="B45" s="1" t="b">
        <f t="shared" si="2"/>
        <v>0</v>
      </c>
      <c r="C45">
        <v>7087</v>
      </c>
      <c r="D45" s="16" t="s">
        <v>685</v>
      </c>
      <c r="E45" t="s">
        <v>592</v>
      </c>
      <c r="F45">
        <f t="shared" si="3"/>
        <v>7086</v>
      </c>
      <c r="G45">
        <v>7086</v>
      </c>
      <c r="I45" t="s">
        <v>966</v>
      </c>
      <c r="J45">
        <v>43</v>
      </c>
      <c r="K45" t="s">
        <v>380</v>
      </c>
      <c r="L45" t="s">
        <v>381</v>
      </c>
      <c r="M45">
        <v>1</v>
      </c>
      <c r="N45">
        <v>0</v>
      </c>
      <c r="O45" t="s">
        <v>966</v>
      </c>
      <c r="P45">
        <v>7086</v>
      </c>
      <c r="Q45">
        <v>3</v>
      </c>
      <c r="R45" t="s">
        <v>421</v>
      </c>
    </row>
    <row r="46" spans="1:18" x14ac:dyDescent="0.3">
      <c r="A46" s="1" t="b">
        <f t="shared" si="1"/>
        <v>0</v>
      </c>
      <c r="B46" s="1" t="b">
        <f t="shared" si="2"/>
        <v>0</v>
      </c>
      <c r="C46">
        <v>7089</v>
      </c>
      <c r="D46" s="16" t="s">
        <v>686</v>
      </c>
      <c r="E46" t="s">
        <v>593</v>
      </c>
      <c r="F46">
        <f t="shared" si="3"/>
        <v>7088</v>
      </c>
      <c r="G46">
        <v>7088</v>
      </c>
      <c r="I46" t="s">
        <v>967</v>
      </c>
      <c r="J46">
        <v>44</v>
      </c>
      <c r="K46" t="s">
        <v>380</v>
      </c>
      <c r="L46" t="s">
        <v>381</v>
      </c>
      <c r="M46">
        <v>1E-3</v>
      </c>
      <c r="N46">
        <v>0</v>
      </c>
      <c r="O46" t="s">
        <v>967</v>
      </c>
      <c r="P46">
        <v>7088</v>
      </c>
      <c r="Q46">
        <v>3</v>
      </c>
      <c r="R46" t="s">
        <v>421</v>
      </c>
    </row>
    <row r="47" spans="1:18" x14ac:dyDescent="0.3">
      <c r="A47" s="1" t="b">
        <f t="shared" si="1"/>
        <v>0</v>
      </c>
      <c r="B47" s="1" t="b">
        <f t="shared" si="2"/>
        <v>0</v>
      </c>
      <c r="C47">
        <v>7091</v>
      </c>
      <c r="D47" s="16" t="s">
        <v>687</v>
      </c>
      <c r="E47" t="s">
        <v>594</v>
      </c>
      <c r="F47">
        <f t="shared" si="3"/>
        <v>7090</v>
      </c>
      <c r="G47">
        <v>7090</v>
      </c>
      <c r="I47" t="s">
        <v>968</v>
      </c>
      <c r="J47">
        <v>45</v>
      </c>
      <c r="K47" t="s">
        <v>380</v>
      </c>
      <c r="L47" t="s">
        <v>381</v>
      </c>
      <c r="M47">
        <v>1E-3</v>
      </c>
      <c r="N47">
        <v>0</v>
      </c>
      <c r="O47" t="s">
        <v>968</v>
      </c>
      <c r="P47">
        <v>7090</v>
      </c>
      <c r="Q47">
        <v>3</v>
      </c>
      <c r="R47" t="s">
        <v>421</v>
      </c>
    </row>
    <row r="48" spans="1:18" x14ac:dyDescent="0.3">
      <c r="A48" s="1" t="b">
        <f t="shared" si="1"/>
        <v>0</v>
      </c>
      <c r="B48" s="1" t="b">
        <f t="shared" si="2"/>
        <v>0</v>
      </c>
      <c r="C48">
        <v>7093</v>
      </c>
      <c r="D48" s="16" t="s">
        <v>688</v>
      </c>
      <c r="E48" t="s">
        <v>595</v>
      </c>
      <c r="F48">
        <f t="shared" si="3"/>
        <v>7092</v>
      </c>
      <c r="G48">
        <v>7092</v>
      </c>
      <c r="I48" t="s">
        <v>969</v>
      </c>
      <c r="J48">
        <v>46</v>
      </c>
      <c r="K48" t="s">
        <v>380</v>
      </c>
      <c r="L48" t="s">
        <v>381</v>
      </c>
      <c r="M48">
        <v>1E-3</v>
      </c>
      <c r="N48">
        <v>0</v>
      </c>
      <c r="O48" t="s">
        <v>969</v>
      </c>
      <c r="P48">
        <v>7092</v>
      </c>
      <c r="Q48">
        <v>3</v>
      </c>
      <c r="R48" t="s">
        <v>421</v>
      </c>
    </row>
    <row r="49" spans="1:18" x14ac:dyDescent="0.3">
      <c r="A49" s="1" t="b">
        <f t="shared" si="1"/>
        <v>0</v>
      </c>
      <c r="B49" s="1" t="b">
        <f t="shared" si="2"/>
        <v>0</v>
      </c>
      <c r="C49">
        <v>7095</v>
      </c>
      <c r="D49" s="16" t="s">
        <v>689</v>
      </c>
      <c r="E49" t="s">
        <v>596</v>
      </c>
      <c r="F49">
        <f t="shared" si="3"/>
        <v>7094</v>
      </c>
      <c r="G49">
        <v>7094</v>
      </c>
      <c r="I49" t="s">
        <v>970</v>
      </c>
      <c r="J49">
        <v>47</v>
      </c>
      <c r="K49" t="s">
        <v>380</v>
      </c>
      <c r="L49" t="s">
        <v>381</v>
      </c>
      <c r="M49">
        <v>1E-3</v>
      </c>
      <c r="N49">
        <v>0</v>
      </c>
      <c r="O49" t="s">
        <v>970</v>
      </c>
      <c r="P49">
        <v>7094</v>
      </c>
      <c r="Q49">
        <v>3</v>
      </c>
      <c r="R49" t="s">
        <v>421</v>
      </c>
    </row>
    <row r="50" spans="1:18" x14ac:dyDescent="0.3">
      <c r="A50" s="1" t="b">
        <f t="shared" si="1"/>
        <v>0</v>
      </c>
      <c r="B50" s="1" t="b">
        <f t="shared" si="2"/>
        <v>0</v>
      </c>
      <c r="C50">
        <v>7097</v>
      </c>
      <c r="D50" s="16" t="s">
        <v>690</v>
      </c>
      <c r="E50" t="s">
        <v>597</v>
      </c>
      <c r="F50">
        <f t="shared" si="3"/>
        <v>7096</v>
      </c>
      <c r="G50">
        <v>7096</v>
      </c>
      <c r="I50" t="s">
        <v>971</v>
      </c>
      <c r="J50">
        <v>48</v>
      </c>
      <c r="K50" t="s">
        <v>380</v>
      </c>
      <c r="L50" t="s">
        <v>381</v>
      </c>
      <c r="M50">
        <v>1E-3</v>
      </c>
      <c r="N50">
        <v>0</v>
      </c>
      <c r="O50" t="s">
        <v>971</v>
      </c>
      <c r="P50">
        <v>7096</v>
      </c>
      <c r="Q50">
        <v>3</v>
      </c>
      <c r="R50" t="s">
        <v>421</v>
      </c>
    </row>
    <row r="51" spans="1:18" x14ac:dyDescent="0.3">
      <c r="A51" s="1" t="b">
        <f t="shared" si="1"/>
        <v>0</v>
      </c>
      <c r="B51" s="1" t="b">
        <f t="shared" si="2"/>
        <v>0</v>
      </c>
      <c r="C51">
        <v>7099</v>
      </c>
      <c r="D51" s="16" t="s">
        <v>691</v>
      </c>
      <c r="E51" t="s">
        <v>598</v>
      </c>
      <c r="F51">
        <f t="shared" si="3"/>
        <v>7098</v>
      </c>
      <c r="G51">
        <v>7098</v>
      </c>
      <c r="I51" t="s">
        <v>972</v>
      </c>
      <c r="J51">
        <v>49</v>
      </c>
      <c r="K51" t="s">
        <v>380</v>
      </c>
      <c r="L51" t="s">
        <v>381</v>
      </c>
      <c r="M51">
        <v>1E-3</v>
      </c>
      <c r="N51">
        <v>0</v>
      </c>
      <c r="O51" t="s">
        <v>972</v>
      </c>
      <c r="P51">
        <v>7098</v>
      </c>
      <c r="Q51">
        <v>3</v>
      </c>
      <c r="R51" t="s">
        <v>421</v>
      </c>
    </row>
    <row r="52" spans="1:18" x14ac:dyDescent="0.3">
      <c r="A52" s="1" t="b">
        <f t="shared" si="1"/>
        <v>0</v>
      </c>
      <c r="B52" s="1" t="b">
        <f t="shared" si="2"/>
        <v>0</v>
      </c>
      <c r="C52">
        <v>7101</v>
      </c>
      <c r="D52" s="16" t="s">
        <v>692</v>
      </c>
      <c r="E52" t="s">
        <v>599</v>
      </c>
      <c r="F52">
        <f t="shared" si="3"/>
        <v>7100</v>
      </c>
      <c r="G52">
        <v>7100</v>
      </c>
      <c r="I52" t="s">
        <v>973</v>
      </c>
      <c r="J52">
        <v>50</v>
      </c>
      <c r="K52" t="s">
        <v>380</v>
      </c>
      <c r="L52" t="s">
        <v>381</v>
      </c>
      <c r="M52">
        <v>1E-3</v>
      </c>
      <c r="N52">
        <v>0</v>
      </c>
      <c r="O52" t="s">
        <v>973</v>
      </c>
      <c r="P52">
        <v>7100</v>
      </c>
      <c r="Q52">
        <v>3</v>
      </c>
      <c r="R52" t="s">
        <v>421</v>
      </c>
    </row>
    <row r="53" spans="1:18" x14ac:dyDescent="0.3">
      <c r="A53" s="1" t="b">
        <f t="shared" si="1"/>
        <v>0</v>
      </c>
      <c r="B53" s="1" t="b">
        <f t="shared" si="2"/>
        <v>0</v>
      </c>
      <c r="C53">
        <v>7103</v>
      </c>
      <c r="D53" s="16" t="s">
        <v>693</v>
      </c>
      <c r="E53" t="s">
        <v>600</v>
      </c>
      <c r="F53">
        <f t="shared" si="3"/>
        <v>7102</v>
      </c>
      <c r="G53">
        <v>7102</v>
      </c>
      <c r="I53" t="s">
        <v>974</v>
      </c>
      <c r="J53">
        <v>51</v>
      </c>
      <c r="K53" t="s">
        <v>380</v>
      </c>
      <c r="L53" t="s">
        <v>381</v>
      </c>
      <c r="M53">
        <v>1E-3</v>
      </c>
      <c r="N53">
        <v>0</v>
      </c>
      <c r="O53" t="s">
        <v>974</v>
      </c>
      <c r="P53">
        <v>7102</v>
      </c>
      <c r="Q53">
        <v>3</v>
      </c>
      <c r="R53" t="s">
        <v>421</v>
      </c>
    </row>
    <row r="54" spans="1:18" x14ac:dyDescent="0.3">
      <c r="A54" s="1" t="b">
        <f t="shared" si="1"/>
        <v>0</v>
      </c>
      <c r="B54" s="1" t="b">
        <f t="shared" si="2"/>
        <v>0</v>
      </c>
      <c r="C54">
        <v>7105</v>
      </c>
      <c r="D54" s="16" t="s">
        <v>694</v>
      </c>
      <c r="E54" t="s">
        <v>601</v>
      </c>
      <c r="F54">
        <f t="shared" si="3"/>
        <v>7104</v>
      </c>
      <c r="G54">
        <v>7104</v>
      </c>
      <c r="I54" t="s">
        <v>975</v>
      </c>
      <c r="J54">
        <v>52</v>
      </c>
      <c r="K54" t="s">
        <v>380</v>
      </c>
      <c r="L54" t="s">
        <v>381</v>
      </c>
      <c r="M54">
        <v>1E-3</v>
      </c>
      <c r="N54">
        <v>0</v>
      </c>
      <c r="O54" t="s">
        <v>975</v>
      </c>
      <c r="P54">
        <v>7104</v>
      </c>
      <c r="Q54">
        <v>3</v>
      </c>
      <c r="R54" t="s">
        <v>421</v>
      </c>
    </row>
    <row r="55" spans="1:18" x14ac:dyDescent="0.3">
      <c r="A55" s="1" t="b">
        <f t="shared" si="1"/>
        <v>0</v>
      </c>
      <c r="B55" s="1" t="b">
        <f t="shared" si="2"/>
        <v>0</v>
      </c>
      <c r="C55">
        <v>7107</v>
      </c>
      <c r="D55" s="16" t="s">
        <v>695</v>
      </c>
      <c r="E55" t="s">
        <v>602</v>
      </c>
      <c r="F55">
        <f t="shared" si="3"/>
        <v>7106</v>
      </c>
      <c r="G55">
        <v>7106</v>
      </c>
      <c r="I55" t="s">
        <v>602</v>
      </c>
      <c r="J55">
        <v>53</v>
      </c>
      <c r="K55" t="s">
        <v>380</v>
      </c>
      <c r="L55" t="s">
        <v>381</v>
      </c>
      <c r="M55">
        <v>1</v>
      </c>
      <c r="N55">
        <v>0</v>
      </c>
      <c r="O55" t="s">
        <v>602</v>
      </c>
      <c r="P55">
        <v>7106</v>
      </c>
      <c r="Q55">
        <v>3</v>
      </c>
      <c r="R55" t="s">
        <v>421</v>
      </c>
    </row>
    <row r="56" spans="1:18" x14ac:dyDescent="0.3">
      <c r="A56" s="1" t="b">
        <f t="shared" si="1"/>
        <v>0</v>
      </c>
      <c r="B56" s="1" t="b">
        <f t="shared" si="2"/>
        <v>0</v>
      </c>
      <c r="C56">
        <v>7109</v>
      </c>
      <c r="D56" s="16" t="s">
        <v>696</v>
      </c>
      <c r="E56" t="s">
        <v>603</v>
      </c>
      <c r="F56">
        <f t="shared" si="3"/>
        <v>7108</v>
      </c>
      <c r="G56">
        <v>7108</v>
      </c>
      <c r="I56" t="s">
        <v>976</v>
      </c>
      <c r="J56">
        <v>54</v>
      </c>
      <c r="K56" t="s">
        <v>380</v>
      </c>
      <c r="L56" t="s">
        <v>381</v>
      </c>
      <c r="M56">
        <v>1</v>
      </c>
      <c r="N56">
        <v>0</v>
      </c>
      <c r="O56" t="s">
        <v>976</v>
      </c>
      <c r="P56">
        <v>7108</v>
      </c>
      <c r="Q56">
        <v>3</v>
      </c>
      <c r="R56" t="s">
        <v>421</v>
      </c>
    </row>
    <row r="57" spans="1:18" x14ac:dyDescent="0.3">
      <c r="A57" s="1" t="b">
        <f t="shared" si="1"/>
        <v>0</v>
      </c>
      <c r="B57" s="1" t="b">
        <f t="shared" si="2"/>
        <v>0</v>
      </c>
      <c r="C57">
        <v>7111</v>
      </c>
      <c r="D57" s="16" t="s">
        <v>697</v>
      </c>
      <c r="E57" t="s">
        <v>604</v>
      </c>
      <c r="F57">
        <f t="shared" si="3"/>
        <v>7110</v>
      </c>
      <c r="G57">
        <v>7110</v>
      </c>
      <c r="I57" t="s">
        <v>977</v>
      </c>
      <c r="J57">
        <v>55</v>
      </c>
      <c r="K57" t="s">
        <v>380</v>
      </c>
      <c r="L57" t="s">
        <v>381</v>
      </c>
      <c r="M57">
        <v>1</v>
      </c>
      <c r="N57">
        <v>0</v>
      </c>
      <c r="O57" t="s">
        <v>977</v>
      </c>
      <c r="P57">
        <v>7110</v>
      </c>
      <c r="Q57">
        <v>3</v>
      </c>
      <c r="R57" t="s">
        <v>421</v>
      </c>
    </row>
    <row r="58" spans="1:18" x14ac:dyDescent="0.3">
      <c r="A58" s="1" t="b">
        <f t="shared" si="1"/>
        <v>0</v>
      </c>
      <c r="B58" s="1" t="b">
        <f t="shared" si="2"/>
        <v>0</v>
      </c>
      <c r="C58">
        <v>7113</v>
      </c>
      <c r="D58" s="16" t="s">
        <v>698</v>
      </c>
      <c r="E58" t="s">
        <v>605</v>
      </c>
      <c r="F58">
        <f t="shared" si="3"/>
        <v>7112</v>
      </c>
      <c r="G58">
        <v>7112</v>
      </c>
      <c r="I58" t="s">
        <v>978</v>
      </c>
      <c r="J58">
        <v>56</v>
      </c>
      <c r="K58" t="s">
        <v>380</v>
      </c>
      <c r="L58" t="s">
        <v>381</v>
      </c>
      <c r="M58">
        <v>1</v>
      </c>
      <c r="N58">
        <v>0</v>
      </c>
      <c r="O58" t="s">
        <v>978</v>
      </c>
      <c r="P58">
        <v>7112</v>
      </c>
      <c r="Q58">
        <v>3</v>
      </c>
      <c r="R58" t="s">
        <v>421</v>
      </c>
    </row>
    <row r="59" spans="1:18" x14ac:dyDescent="0.3">
      <c r="A59" s="1" t="str">
        <f t="shared" si="1"/>
        <v>Im_kWh_RateA</v>
      </c>
      <c r="B59" s="1">
        <f t="shared" si="2"/>
        <v>57</v>
      </c>
      <c r="C59">
        <v>7115</v>
      </c>
      <c r="D59" s="16" t="s">
        <v>699</v>
      </c>
      <c r="E59" t="s">
        <v>606</v>
      </c>
      <c r="F59">
        <f t="shared" si="3"/>
        <v>7114</v>
      </c>
      <c r="G59">
        <v>7114</v>
      </c>
      <c r="H59" t="s">
        <v>1018</v>
      </c>
      <c r="I59" t="s">
        <v>979</v>
      </c>
      <c r="J59">
        <v>57</v>
      </c>
      <c r="K59" t="s">
        <v>380</v>
      </c>
      <c r="L59" t="s">
        <v>381</v>
      </c>
      <c r="M59">
        <v>1E-3</v>
      </c>
      <c r="N59">
        <v>0</v>
      </c>
      <c r="O59" t="s">
        <v>979</v>
      </c>
      <c r="P59">
        <v>7114</v>
      </c>
      <c r="Q59">
        <v>3</v>
      </c>
      <c r="R59" t="s">
        <v>421</v>
      </c>
    </row>
    <row r="60" spans="1:18" x14ac:dyDescent="0.3">
      <c r="A60" s="1" t="str">
        <f t="shared" si="1"/>
        <v>Im_kWh_RateB</v>
      </c>
      <c r="B60" s="1">
        <f t="shared" si="2"/>
        <v>58</v>
      </c>
      <c r="C60">
        <v>7117</v>
      </c>
      <c r="D60" s="16" t="s">
        <v>700</v>
      </c>
      <c r="E60" t="s">
        <v>607</v>
      </c>
      <c r="F60">
        <f t="shared" si="3"/>
        <v>7116</v>
      </c>
      <c r="G60">
        <v>7116</v>
      </c>
      <c r="H60" t="s">
        <v>1018</v>
      </c>
      <c r="I60" t="s">
        <v>980</v>
      </c>
      <c r="J60">
        <v>58</v>
      </c>
      <c r="K60" t="s">
        <v>380</v>
      </c>
      <c r="L60" t="s">
        <v>381</v>
      </c>
      <c r="M60">
        <v>1E-3</v>
      </c>
      <c r="N60">
        <v>0</v>
      </c>
      <c r="O60" t="s">
        <v>980</v>
      </c>
      <c r="P60">
        <v>7116</v>
      </c>
      <c r="Q60">
        <v>3</v>
      </c>
      <c r="R60" t="s">
        <v>421</v>
      </c>
    </row>
    <row r="61" spans="1:18" x14ac:dyDescent="0.3">
      <c r="A61" s="1" t="str">
        <f t="shared" si="1"/>
        <v>Im_kWh_RateC</v>
      </c>
      <c r="B61" s="1">
        <f t="shared" si="2"/>
        <v>59</v>
      </c>
      <c r="C61">
        <v>7119</v>
      </c>
      <c r="D61" s="16" t="s">
        <v>701</v>
      </c>
      <c r="E61" t="s">
        <v>608</v>
      </c>
      <c r="F61">
        <f t="shared" si="3"/>
        <v>7118</v>
      </c>
      <c r="G61">
        <v>7118</v>
      </c>
      <c r="H61" t="s">
        <v>1018</v>
      </c>
      <c r="I61" t="s">
        <v>981</v>
      </c>
      <c r="J61">
        <v>59</v>
      </c>
      <c r="K61" t="s">
        <v>380</v>
      </c>
      <c r="L61" t="s">
        <v>381</v>
      </c>
      <c r="M61">
        <v>1E-3</v>
      </c>
      <c r="N61">
        <v>0</v>
      </c>
      <c r="O61" t="s">
        <v>981</v>
      </c>
      <c r="P61">
        <v>7118</v>
      </c>
      <c r="Q61">
        <v>3</v>
      </c>
      <c r="R61" t="s">
        <v>421</v>
      </c>
    </row>
    <row r="62" spans="1:18" x14ac:dyDescent="0.3">
      <c r="A62" s="1" t="b">
        <f t="shared" si="1"/>
        <v>0</v>
      </c>
      <c r="B62" s="1" t="b">
        <f t="shared" si="2"/>
        <v>0</v>
      </c>
      <c r="C62">
        <v>7121</v>
      </c>
      <c r="D62" s="16" t="s">
        <v>702</v>
      </c>
      <c r="E62" t="s">
        <v>609</v>
      </c>
      <c r="F62">
        <f t="shared" si="3"/>
        <v>7120</v>
      </c>
      <c r="G62">
        <v>7120</v>
      </c>
      <c r="I62" t="s">
        <v>982</v>
      </c>
      <c r="J62">
        <v>60</v>
      </c>
      <c r="K62" t="s">
        <v>380</v>
      </c>
      <c r="L62" t="s">
        <v>381</v>
      </c>
      <c r="M62">
        <v>1E-3</v>
      </c>
      <c r="N62">
        <v>0</v>
      </c>
      <c r="O62" t="s">
        <v>982</v>
      </c>
      <c r="P62">
        <v>7120</v>
      </c>
      <c r="Q62">
        <v>3</v>
      </c>
      <c r="R62" t="s">
        <v>421</v>
      </c>
    </row>
    <row r="63" spans="1:18" x14ac:dyDescent="0.3">
      <c r="A63" s="1" t="b">
        <f t="shared" si="1"/>
        <v>0</v>
      </c>
      <c r="B63" s="1" t="b">
        <f t="shared" si="2"/>
        <v>0</v>
      </c>
      <c r="C63">
        <v>7123</v>
      </c>
      <c r="D63" s="16" t="s">
        <v>703</v>
      </c>
      <c r="E63" t="s">
        <v>610</v>
      </c>
      <c r="F63">
        <f t="shared" si="3"/>
        <v>7122</v>
      </c>
      <c r="G63">
        <v>7122</v>
      </c>
      <c r="I63" t="s">
        <v>983</v>
      </c>
      <c r="J63">
        <v>61</v>
      </c>
      <c r="K63" t="s">
        <v>380</v>
      </c>
      <c r="L63" t="s">
        <v>381</v>
      </c>
      <c r="M63">
        <v>1E-3</v>
      </c>
      <c r="N63">
        <v>0</v>
      </c>
      <c r="O63" t="s">
        <v>983</v>
      </c>
      <c r="P63">
        <v>7122</v>
      </c>
      <c r="Q63">
        <v>3</v>
      </c>
      <c r="R63" t="s">
        <v>421</v>
      </c>
    </row>
    <row r="64" spans="1:18" x14ac:dyDescent="0.3">
      <c r="A64" s="1" t="b">
        <f t="shared" si="1"/>
        <v>0</v>
      </c>
      <c r="B64" s="1" t="b">
        <f t="shared" si="2"/>
        <v>0</v>
      </c>
      <c r="C64">
        <v>7125</v>
      </c>
      <c r="D64" s="16" t="s">
        <v>704</v>
      </c>
      <c r="E64" t="s">
        <v>611</v>
      </c>
      <c r="F64">
        <f t="shared" si="3"/>
        <v>7124</v>
      </c>
      <c r="G64">
        <v>7124</v>
      </c>
      <c r="I64" t="s">
        <v>984</v>
      </c>
      <c r="J64">
        <v>62</v>
      </c>
      <c r="K64" t="s">
        <v>380</v>
      </c>
      <c r="L64" t="s">
        <v>381</v>
      </c>
      <c r="M64">
        <v>1E-3</v>
      </c>
      <c r="N64">
        <v>0</v>
      </c>
      <c r="O64" t="s">
        <v>984</v>
      </c>
      <c r="P64">
        <v>7124</v>
      </c>
      <c r="Q64">
        <v>3</v>
      </c>
      <c r="R64" t="s">
        <v>421</v>
      </c>
    </row>
    <row r="65" spans="1:18" x14ac:dyDescent="0.3">
      <c r="A65" s="1" t="str">
        <f t="shared" si="1"/>
        <v>Im_Total_kVArh</v>
      </c>
      <c r="B65" s="1">
        <f t="shared" si="2"/>
        <v>63</v>
      </c>
      <c r="C65">
        <v>7127</v>
      </c>
      <c r="D65" s="16" t="s">
        <v>705</v>
      </c>
      <c r="E65" t="s">
        <v>612</v>
      </c>
      <c r="F65">
        <f t="shared" si="3"/>
        <v>7126</v>
      </c>
      <c r="G65">
        <v>7126</v>
      </c>
      <c r="H65" t="s">
        <v>1018</v>
      </c>
      <c r="I65" t="s">
        <v>985</v>
      </c>
      <c r="J65">
        <v>63</v>
      </c>
      <c r="K65" t="s">
        <v>380</v>
      </c>
      <c r="L65" t="s">
        <v>381</v>
      </c>
      <c r="M65">
        <v>1E-3</v>
      </c>
      <c r="N65">
        <v>0</v>
      </c>
      <c r="O65" t="s">
        <v>985</v>
      </c>
      <c r="P65">
        <v>7126</v>
      </c>
      <c r="Q65">
        <v>3</v>
      </c>
      <c r="R65" t="s">
        <v>421</v>
      </c>
    </row>
    <row r="66" spans="1:18" x14ac:dyDescent="0.3">
      <c r="A66" s="1" t="b">
        <f t="shared" si="1"/>
        <v>0</v>
      </c>
      <c r="B66" s="1" t="b">
        <f t="shared" si="2"/>
        <v>0</v>
      </c>
      <c r="C66">
        <v>7129</v>
      </c>
      <c r="D66" s="16" t="s">
        <v>706</v>
      </c>
      <c r="E66" t="s">
        <v>613</v>
      </c>
      <c r="F66">
        <f t="shared" si="3"/>
        <v>7128</v>
      </c>
      <c r="G66">
        <v>7128</v>
      </c>
      <c r="I66" t="s">
        <v>986</v>
      </c>
      <c r="J66">
        <v>64</v>
      </c>
      <c r="K66" t="s">
        <v>380</v>
      </c>
      <c r="L66" t="s">
        <v>381</v>
      </c>
      <c r="M66">
        <v>1E-3</v>
      </c>
      <c r="N66">
        <v>0</v>
      </c>
      <c r="O66" t="s">
        <v>986</v>
      </c>
      <c r="P66">
        <v>7128</v>
      </c>
      <c r="Q66">
        <v>3</v>
      </c>
      <c r="R66" t="s">
        <v>421</v>
      </c>
    </row>
    <row r="67" spans="1:18" x14ac:dyDescent="0.3">
      <c r="A67" s="1" t="b">
        <f t="shared" ref="A67:A98" si="4">IF(VLOOKUP(F67,$G$2:$R$96,2,0)="Used",VLOOKUP(F67,$G$2:$R$96,3,0))</f>
        <v>0</v>
      </c>
      <c r="B67" s="1" t="b">
        <f t="shared" ref="B67:B98" si="5">IF(VLOOKUP(F67,$G$2:$R$96,2,0)="Used",VLOOKUP(F67,$G$2:$R$96,4,0))</f>
        <v>0</v>
      </c>
      <c r="C67">
        <v>7131</v>
      </c>
      <c r="D67" s="16" t="s">
        <v>707</v>
      </c>
      <c r="E67" t="s">
        <v>614</v>
      </c>
      <c r="F67">
        <f t="shared" ref="F67:F98" si="6">C67-1</f>
        <v>7130</v>
      </c>
      <c r="G67">
        <v>7130</v>
      </c>
      <c r="I67" t="s">
        <v>987</v>
      </c>
      <c r="J67">
        <v>65</v>
      </c>
      <c r="K67" t="s">
        <v>380</v>
      </c>
      <c r="L67" t="s">
        <v>381</v>
      </c>
      <c r="M67">
        <v>1E-3</v>
      </c>
      <c r="N67">
        <v>0</v>
      </c>
      <c r="O67" t="s">
        <v>987</v>
      </c>
      <c r="P67">
        <v>7130</v>
      </c>
      <c r="Q67">
        <v>3</v>
      </c>
      <c r="R67" t="s">
        <v>421</v>
      </c>
    </row>
    <row r="68" spans="1:18" x14ac:dyDescent="0.3">
      <c r="A68" s="1" t="b">
        <f t="shared" si="4"/>
        <v>0</v>
      </c>
      <c r="B68" s="1" t="b">
        <f t="shared" si="5"/>
        <v>0</v>
      </c>
      <c r="C68">
        <v>7133</v>
      </c>
      <c r="D68" s="16" t="s">
        <v>708</v>
      </c>
      <c r="E68" t="s">
        <v>615</v>
      </c>
      <c r="F68">
        <f t="shared" si="6"/>
        <v>7132</v>
      </c>
      <c r="G68">
        <v>7132</v>
      </c>
      <c r="I68" t="s">
        <v>988</v>
      </c>
      <c r="J68">
        <v>66</v>
      </c>
      <c r="K68" t="s">
        <v>380</v>
      </c>
      <c r="L68" t="s">
        <v>381</v>
      </c>
      <c r="M68">
        <v>1E-3</v>
      </c>
      <c r="N68">
        <v>0</v>
      </c>
      <c r="O68" t="s">
        <v>988</v>
      </c>
      <c r="P68">
        <v>7132</v>
      </c>
      <c r="Q68">
        <v>3</v>
      </c>
      <c r="R68" t="s">
        <v>421</v>
      </c>
    </row>
    <row r="69" spans="1:18" x14ac:dyDescent="0.3">
      <c r="A69" s="1" t="b">
        <f t="shared" si="4"/>
        <v>0</v>
      </c>
      <c r="B69" s="1" t="b">
        <f t="shared" si="5"/>
        <v>0</v>
      </c>
      <c r="C69">
        <v>7135</v>
      </c>
      <c r="D69" s="16" t="s">
        <v>709</v>
      </c>
      <c r="E69" t="s">
        <v>616</v>
      </c>
      <c r="F69">
        <f t="shared" si="6"/>
        <v>7134</v>
      </c>
      <c r="G69">
        <v>7134</v>
      </c>
      <c r="I69" t="s">
        <v>989</v>
      </c>
      <c r="J69">
        <v>67</v>
      </c>
      <c r="K69" t="s">
        <v>380</v>
      </c>
      <c r="L69" t="s">
        <v>381</v>
      </c>
      <c r="M69">
        <v>1E-3</v>
      </c>
      <c r="N69">
        <v>0</v>
      </c>
      <c r="O69" t="s">
        <v>989</v>
      </c>
      <c r="P69">
        <v>7134</v>
      </c>
      <c r="Q69">
        <v>3</v>
      </c>
      <c r="R69" t="s">
        <v>421</v>
      </c>
    </row>
    <row r="70" spans="1:18" x14ac:dyDescent="0.3">
      <c r="A70" s="1" t="b">
        <f t="shared" si="4"/>
        <v>0</v>
      </c>
      <c r="B70" s="1" t="b">
        <f t="shared" si="5"/>
        <v>0</v>
      </c>
      <c r="C70">
        <v>7137</v>
      </c>
      <c r="D70" s="16" t="s">
        <v>710</v>
      </c>
      <c r="E70" t="s">
        <v>617</v>
      </c>
      <c r="F70">
        <f t="shared" si="6"/>
        <v>7136</v>
      </c>
      <c r="G70">
        <v>7136</v>
      </c>
      <c r="I70" t="s">
        <v>990</v>
      </c>
      <c r="J70">
        <v>68</v>
      </c>
      <c r="K70" t="s">
        <v>380</v>
      </c>
      <c r="L70" t="s">
        <v>381</v>
      </c>
      <c r="M70">
        <v>1E-3</v>
      </c>
      <c r="N70">
        <v>0</v>
      </c>
      <c r="O70" t="s">
        <v>990</v>
      </c>
      <c r="P70">
        <v>7136</v>
      </c>
      <c r="Q70">
        <v>3</v>
      </c>
      <c r="R70" t="s">
        <v>421</v>
      </c>
    </row>
    <row r="71" spans="1:18" x14ac:dyDescent="0.3">
      <c r="A71" s="1" t="b">
        <f t="shared" si="4"/>
        <v>0</v>
      </c>
      <c r="B71" s="1" t="b">
        <f t="shared" si="5"/>
        <v>0</v>
      </c>
      <c r="C71">
        <v>7139</v>
      </c>
      <c r="D71" s="16" t="s">
        <v>711</v>
      </c>
      <c r="E71" t="s">
        <v>618</v>
      </c>
      <c r="F71">
        <f t="shared" si="6"/>
        <v>7138</v>
      </c>
      <c r="G71">
        <v>7138</v>
      </c>
      <c r="I71" t="s">
        <v>991</v>
      </c>
      <c r="J71">
        <v>69</v>
      </c>
      <c r="K71" t="s">
        <v>380</v>
      </c>
      <c r="L71" t="s">
        <v>381</v>
      </c>
      <c r="M71">
        <v>1E-3</v>
      </c>
      <c r="N71">
        <v>0</v>
      </c>
      <c r="O71" t="s">
        <v>991</v>
      </c>
      <c r="P71">
        <v>7138</v>
      </c>
      <c r="Q71">
        <v>3</v>
      </c>
      <c r="R71" t="s">
        <v>421</v>
      </c>
    </row>
    <row r="72" spans="1:18" x14ac:dyDescent="0.3">
      <c r="A72" s="1" t="b">
        <f t="shared" si="4"/>
        <v>0</v>
      </c>
      <c r="B72" s="1" t="b">
        <f t="shared" si="5"/>
        <v>0</v>
      </c>
      <c r="C72">
        <v>7141</v>
      </c>
      <c r="D72" s="16" t="s">
        <v>712</v>
      </c>
      <c r="E72" t="s">
        <v>619</v>
      </c>
      <c r="F72">
        <f t="shared" si="6"/>
        <v>7140</v>
      </c>
      <c r="G72">
        <v>7140</v>
      </c>
      <c r="I72" t="s">
        <v>992</v>
      </c>
      <c r="J72">
        <v>70</v>
      </c>
      <c r="K72" t="s">
        <v>380</v>
      </c>
      <c r="L72" t="s">
        <v>381</v>
      </c>
      <c r="M72">
        <v>1E-3</v>
      </c>
      <c r="N72">
        <v>0</v>
      </c>
      <c r="O72" t="s">
        <v>992</v>
      </c>
      <c r="P72">
        <v>7140</v>
      </c>
      <c r="Q72">
        <v>3</v>
      </c>
      <c r="R72" t="s">
        <v>421</v>
      </c>
    </row>
    <row r="73" spans="1:18" x14ac:dyDescent="0.3">
      <c r="A73" s="1" t="b">
        <f t="shared" si="4"/>
        <v>0</v>
      </c>
      <c r="B73" s="1" t="b">
        <f t="shared" si="5"/>
        <v>0</v>
      </c>
      <c r="C73">
        <v>7143</v>
      </c>
      <c r="D73" s="16" t="s">
        <v>713</v>
      </c>
      <c r="E73" t="s">
        <v>620</v>
      </c>
      <c r="F73">
        <f t="shared" si="6"/>
        <v>7142</v>
      </c>
      <c r="G73">
        <v>7142</v>
      </c>
      <c r="I73" t="s">
        <v>993</v>
      </c>
      <c r="J73">
        <v>71</v>
      </c>
      <c r="K73" t="s">
        <v>380</v>
      </c>
      <c r="L73" t="s">
        <v>381</v>
      </c>
      <c r="M73">
        <v>1E-3</v>
      </c>
      <c r="N73">
        <v>0</v>
      </c>
      <c r="O73" t="s">
        <v>993</v>
      </c>
      <c r="P73">
        <v>7142</v>
      </c>
      <c r="Q73">
        <v>3</v>
      </c>
      <c r="R73" t="s">
        <v>421</v>
      </c>
    </row>
    <row r="74" spans="1:18" x14ac:dyDescent="0.3">
      <c r="A74" s="1" t="b">
        <f t="shared" si="4"/>
        <v>0</v>
      </c>
      <c r="B74" s="1" t="b">
        <f t="shared" si="5"/>
        <v>0</v>
      </c>
      <c r="C74">
        <v>7145</v>
      </c>
      <c r="D74" s="16" t="s">
        <v>714</v>
      </c>
      <c r="E74" t="s">
        <v>621</v>
      </c>
      <c r="F74">
        <f t="shared" si="6"/>
        <v>7144</v>
      </c>
      <c r="G74">
        <v>7144</v>
      </c>
      <c r="I74" t="s">
        <v>994</v>
      </c>
      <c r="J74">
        <v>72</v>
      </c>
      <c r="K74" t="s">
        <v>380</v>
      </c>
      <c r="L74" t="s">
        <v>381</v>
      </c>
      <c r="M74">
        <v>1E-3</v>
      </c>
      <c r="N74">
        <v>0</v>
      </c>
      <c r="O74" t="s">
        <v>994</v>
      </c>
      <c r="P74">
        <v>7144</v>
      </c>
      <c r="Q74">
        <v>3</v>
      </c>
      <c r="R74" t="s">
        <v>421</v>
      </c>
    </row>
    <row r="75" spans="1:18" x14ac:dyDescent="0.3">
      <c r="A75" s="1" t="b">
        <f t="shared" si="4"/>
        <v>0</v>
      </c>
      <c r="B75" s="1" t="b">
        <f t="shared" si="5"/>
        <v>0</v>
      </c>
      <c r="C75">
        <v>7147</v>
      </c>
      <c r="D75" s="16" t="s">
        <v>715</v>
      </c>
      <c r="E75" t="s">
        <v>622</v>
      </c>
      <c r="F75">
        <f t="shared" si="6"/>
        <v>7146</v>
      </c>
      <c r="G75">
        <v>7146</v>
      </c>
      <c r="I75" t="s">
        <v>995</v>
      </c>
      <c r="J75">
        <v>73</v>
      </c>
      <c r="K75" t="s">
        <v>380</v>
      </c>
      <c r="L75" t="s">
        <v>381</v>
      </c>
      <c r="M75">
        <v>1E-3</v>
      </c>
      <c r="N75">
        <v>0</v>
      </c>
      <c r="O75" t="s">
        <v>995</v>
      </c>
      <c r="P75">
        <v>7146</v>
      </c>
      <c r="Q75">
        <v>3</v>
      </c>
      <c r="R75" t="s">
        <v>421</v>
      </c>
    </row>
    <row r="76" spans="1:18" x14ac:dyDescent="0.3">
      <c r="A76" s="1" t="b">
        <f t="shared" si="4"/>
        <v>0</v>
      </c>
      <c r="B76" s="1" t="b">
        <f t="shared" si="5"/>
        <v>0</v>
      </c>
      <c r="C76">
        <v>7149</v>
      </c>
      <c r="D76" s="16" t="s">
        <v>716</v>
      </c>
      <c r="E76" t="s">
        <v>623</v>
      </c>
      <c r="F76">
        <f t="shared" si="6"/>
        <v>7148</v>
      </c>
      <c r="G76">
        <v>7148</v>
      </c>
      <c r="I76" t="s">
        <v>996</v>
      </c>
      <c r="J76">
        <v>74</v>
      </c>
      <c r="K76" t="s">
        <v>380</v>
      </c>
      <c r="L76" t="s">
        <v>381</v>
      </c>
      <c r="M76">
        <v>1E-3</v>
      </c>
      <c r="N76">
        <v>0</v>
      </c>
      <c r="O76" t="s">
        <v>996</v>
      </c>
      <c r="P76">
        <v>7148</v>
      </c>
      <c r="Q76">
        <v>3</v>
      </c>
      <c r="R76" t="s">
        <v>421</v>
      </c>
    </row>
    <row r="77" spans="1:18" x14ac:dyDescent="0.3">
      <c r="A77" s="1" t="b">
        <f t="shared" si="4"/>
        <v>0</v>
      </c>
      <c r="B77" s="1" t="b">
        <f t="shared" si="5"/>
        <v>0</v>
      </c>
      <c r="C77">
        <v>7151</v>
      </c>
      <c r="D77" s="16" t="s">
        <v>717</v>
      </c>
      <c r="E77" t="s">
        <v>624</v>
      </c>
      <c r="F77">
        <f t="shared" si="6"/>
        <v>7150</v>
      </c>
      <c r="G77">
        <v>7150</v>
      </c>
      <c r="I77" t="s">
        <v>997</v>
      </c>
      <c r="J77">
        <v>75</v>
      </c>
      <c r="K77" t="s">
        <v>380</v>
      </c>
      <c r="L77" t="s">
        <v>381</v>
      </c>
      <c r="M77">
        <v>1E-3</v>
      </c>
      <c r="N77">
        <v>0</v>
      </c>
      <c r="O77" t="s">
        <v>997</v>
      </c>
      <c r="P77">
        <v>7150</v>
      </c>
      <c r="Q77">
        <v>3</v>
      </c>
      <c r="R77" t="s">
        <v>421</v>
      </c>
    </row>
    <row r="78" spans="1:18" x14ac:dyDescent="0.3">
      <c r="A78" s="1" t="b">
        <f t="shared" si="4"/>
        <v>0</v>
      </c>
      <c r="B78" s="1" t="b">
        <f t="shared" si="5"/>
        <v>0</v>
      </c>
      <c r="C78">
        <v>7153</v>
      </c>
      <c r="D78" s="16" t="s">
        <v>718</v>
      </c>
      <c r="E78" t="s">
        <v>625</v>
      </c>
      <c r="F78">
        <f t="shared" si="6"/>
        <v>7152</v>
      </c>
      <c r="G78">
        <v>7152</v>
      </c>
      <c r="I78" t="s">
        <v>998</v>
      </c>
      <c r="J78">
        <v>76</v>
      </c>
      <c r="K78" t="s">
        <v>380</v>
      </c>
      <c r="L78" t="s">
        <v>381</v>
      </c>
      <c r="M78">
        <v>1E-3</v>
      </c>
      <c r="N78">
        <v>0</v>
      </c>
      <c r="O78" t="s">
        <v>998</v>
      </c>
      <c r="P78">
        <v>7152</v>
      </c>
      <c r="Q78">
        <v>3</v>
      </c>
      <c r="R78" t="s">
        <v>421</v>
      </c>
    </row>
    <row r="79" spans="1:18" x14ac:dyDescent="0.3">
      <c r="A79" s="1" t="b">
        <f t="shared" si="4"/>
        <v>0</v>
      </c>
      <c r="B79" s="1" t="b">
        <f t="shared" si="5"/>
        <v>0</v>
      </c>
      <c r="C79">
        <v>7155</v>
      </c>
      <c r="D79" s="16" t="s">
        <v>719</v>
      </c>
      <c r="E79" t="s">
        <v>626</v>
      </c>
      <c r="F79">
        <f t="shared" si="6"/>
        <v>7154</v>
      </c>
      <c r="G79">
        <v>7154</v>
      </c>
      <c r="I79" t="s">
        <v>999</v>
      </c>
      <c r="J79">
        <v>77</v>
      </c>
      <c r="K79" t="s">
        <v>380</v>
      </c>
      <c r="L79" t="s">
        <v>381</v>
      </c>
      <c r="M79">
        <v>1E-3</v>
      </c>
      <c r="N79">
        <v>0</v>
      </c>
      <c r="O79" t="s">
        <v>999</v>
      </c>
      <c r="P79">
        <v>7154</v>
      </c>
      <c r="Q79">
        <v>3</v>
      </c>
      <c r="R79" t="s">
        <v>421</v>
      </c>
    </row>
    <row r="80" spans="1:18" x14ac:dyDescent="0.3">
      <c r="A80" s="1" t="b">
        <f t="shared" si="4"/>
        <v>0</v>
      </c>
      <c r="B80" s="1" t="b">
        <f t="shared" si="5"/>
        <v>0</v>
      </c>
      <c r="C80">
        <v>7157</v>
      </c>
      <c r="D80" s="16" t="s">
        <v>720</v>
      </c>
      <c r="E80" t="s">
        <v>627</v>
      </c>
      <c r="F80">
        <f t="shared" si="6"/>
        <v>7156</v>
      </c>
      <c r="G80">
        <v>7156</v>
      </c>
      <c r="I80" t="s">
        <v>1000</v>
      </c>
      <c r="J80">
        <v>78</v>
      </c>
      <c r="K80" t="s">
        <v>380</v>
      </c>
      <c r="L80" t="s">
        <v>381</v>
      </c>
      <c r="M80">
        <v>1E-3</v>
      </c>
      <c r="N80">
        <v>0</v>
      </c>
      <c r="O80" t="s">
        <v>1000</v>
      </c>
      <c r="P80">
        <v>7156</v>
      </c>
      <c r="Q80">
        <v>3</v>
      </c>
      <c r="R80" t="s">
        <v>421</v>
      </c>
    </row>
    <row r="81" spans="1:18" x14ac:dyDescent="0.3">
      <c r="A81" s="1" t="b">
        <f t="shared" si="4"/>
        <v>0</v>
      </c>
      <c r="B81" s="1" t="b">
        <f t="shared" si="5"/>
        <v>0</v>
      </c>
      <c r="C81">
        <v>7159</v>
      </c>
      <c r="D81" s="16" t="s">
        <v>721</v>
      </c>
      <c r="E81" t="s">
        <v>628</v>
      </c>
      <c r="F81">
        <f t="shared" si="6"/>
        <v>7158</v>
      </c>
      <c r="G81">
        <v>7158</v>
      </c>
      <c r="I81" t="s">
        <v>1001</v>
      </c>
      <c r="J81">
        <v>79</v>
      </c>
      <c r="K81" t="s">
        <v>380</v>
      </c>
      <c r="L81" t="s">
        <v>381</v>
      </c>
      <c r="M81">
        <v>1E-3</v>
      </c>
      <c r="N81">
        <v>0</v>
      </c>
      <c r="O81" t="s">
        <v>1001</v>
      </c>
      <c r="P81">
        <v>7158</v>
      </c>
      <c r="Q81">
        <v>3</v>
      </c>
      <c r="R81" t="s">
        <v>421</v>
      </c>
    </row>
    <row r="82" spans="1:18" x14ac:dyDescent="0.3">
      <c r="A82" s="1" t="b">
        <f t="shared" si="4"/>
        <v>0</v>
      </c>
      <c r="B82" s="1" t="b">
        <f t="shared" si="5"/>
        <v>0</v>
      </c>
      <c r="C82">
        <v>7161</v>
      </c>
      <c r="D82" s="16" t="s">
        <v>722</v>
      </c>
      <c r="E82" t="s">
        <v>629</v>
      </c>
      <c r="F82">
        <f t="shared" si="6"/>
        <v>7160</v>
      </c>
      <c r="G82">
        <v>7160</v>
      </c>
      <c r="I82" t="s">
        <v>1002</v>
      </c>
      <c r="J82">
        <v>80</v>
      </c>
      <c r="K82" t="s">
        <v>380</v>
      </c>
      <c r="L82" t="s">
        <v>381</v>
      </c>
      <c r="M82">
        <v>1E-3</v>
      </c>
      <c r="N82">
        <v>0</v>
      </c>
      <c r="O82" t="s">
        <v>1002</v>
      </c>
      <c r="P82">
        <v>7160</v>
      </c>
      <c r="Q82">
        <v>3</v>
      </c>
      <c r="R82" t="s">
        <v>421</v>
      </c>
    </row>
    <row r="83" spans="1:18" x14ac:dyDescent="0.3">
      <c r="A83" s="1" t="b">
        <f t="shared" si="4"/>
        <v>0</v>
      </c>
      <c r="B83" s="1" t="b">
        <f t="shared" si="5"/>
        <v>0</v>
      </c>
      <c r="C83">
        <v>7163</v>
      </c>
      <c r="D83" s="16" t="s">
        <v>723</v>
      </c>
      <c r="E83" t="s">
        <v>630</v>
      </c>
      <c r="F83">
        <f t="shared" si="6"/>
        <v>7162</v>
      </c>
      <c r="G83">
        <v>7162</v>
      </c>
      <c r="I83" t="s">
        <v>1003</v>
      </c>
      <c r="J83">
        <v>81</v>
      </c>
      <c r="K83" t="s">
        <v>380</v>
      </c>
      <c r="L83" t="s">
        <v>381</v>
      </c>
      <c r="M83">
        <v>1E-3</v>
      </c>
      <c r="N83">
        <v>0</v>
      </c>
      <c r="O83" t="s">
        <v>1003</v>
      </c>
      <c r="P83">
        <v>7162</v>
      </c>
      <c r="Q83">
        <v>3</v>
      </c>
      <c r="R83" t="s">
        <v>421</v>
      </c>
    </row>
    <row r="84" spans="1:18" x14ac:dyDescent="0.3">
      <c r="A84" s="1" t="b">
        <f t="shared" si="4"/>
        <v>0</v>
      </c>
      <c r="B84" s="1" t="b">
        <f t="shared" si="5"/>
        <v>0</v>
      </c>
      <c r="C84">
        <v>7165</v>
      </c>
      <c r="D84" s="16" t="s">
        <v>724</v>
      </c>
      <c r="E84" t="s">
        <v>631</v>
      </c>
      <c r="F84">
        <f t="shared" si="6"/>
        <v>7164</v>
      </c>
      <c r="G84">
        <v>7164</v>
      </c>
      <c r="I84" t="s">
        <v>1004</v>
      </c>
      <c r="J84">
        <v>82</v>
      </c>
      <c r="K84" t="s">
        <v>380</v>
      </c>
      <c r="L84" t="s">
        <v>381</v>
      </c>
      <c r="M84">
        <v>1E-3</v>
      </c>
      <c r="N84">
        <v>0</v>
      </c>
      <c r="O84" t="s">
        <v>1004</v>
      </c>
      <c r="P84">
        <v>7164</v>
      </c>
      <c r="Q84">
        <v>3</v>
      </c>
      <c r="R84" t="s">
        <v>421</v>
      </c>
    </row>
    <row r="85" spans="1:18" x14ac:dyDescent="0.3">
      <c r="A85" s="1" t="b">
        <f t="shared" si="4"/>
        <v>0</v>
      </c>
      <c r="B85" s="1" t="b">
        <f t="shared" si="5"/>
        <v>0</v>
      </c>
      <c r="C85">
        <v>7167</v>
      </c>
      <c r="D85" s="16" t="s">
        <v>725</v>
      </c>
      <c r="E85" t="s">
        <v>632</v>
      </c>
      <c r="F85">
        <f t="shared" si="6"/>
        <v>7166</v>
      </c>
      <c r="G85">
        <v>7166</v>
      </c>
      <c r="I85" t="s">
        <v>1005</v>
      </c>
      <c r="J85">
        <v>83</v>
      </c>
      <c r="K85" t="s">
        <v>380</v>
      </c>
      <c r="L85" t="s">
        <v>381</v>
      </c>
      <c r="M85">
        <v>1E-3</v>
      </c>
      <c r="N85">
        <v>0</v>
      </c>
      <c r="O85" t="s">
        <v>1005</v>
      </c>
      <c r="P85">
        <v>7166</v>
      </c>
      <c r="Q85">
        <v>3</v>
      </c>
      <c r="R85" t="s">
        <v>421</v>
      </c>
    </row>
    <row r="86" spans="1:18" x14ac:dyDescent="0.3">
      <c r="A86" s="1" t="b">
        <f t="shared" si="4"/>
        <v>0</v>
      </c>
      <c r="B86" s="1" t="b">
        <f t="shared" si="5"/>
        <v>0</v>
      </c>
      <c r="C86">
        <v>7169</v>
      </c>
      <c r="D86" s="16" t="s">
        <v>726</v>
      </c>
      <c r="E86" t="s">
        <v>633</v>
      </c>
      <c r="F86">
        <f t="shared" si="6"/>
        <v>7168</v>
      </c>
      <c r="G86">
        <v>7168</v>
      </c>
      <c r="I86" t="s">
        <v>1006</v>
      </c>
      <c r="J86">
        <v>84</v>
      </c>
      <c r="K86" t="s">
        <v>380</v>
      </c>
      <c r="L86" t="s">
        <v>381</v>
      </c>
      <c r="M86">
        <v>1E-3</v>
      </c>
      <c r="N86">
        <v>0</v>
      </c>
      <c r="O86" t="s">
        <v>1006</v>
      </c>
      <c r="P86">
        <v>7168</v>
      </c>
      <c r="Q86">
        <v>3</v>
      </c>
      <c r="R86" t="s">
        <v>421</v>
      </c>
    </row>
    <row r="87" spans="1:18" x14ac:dyDescent="0.3">
      <c r="A87" s="1" t="b">
        <f t="shared" si="4"/>
        <v>0</v>
      </c>
      <c r="B87" s="1" t="b">
        <f t="shared" si="5"/>
        <v>0</v>
      </c>
      <c r="C87">
        <v>7171</v>
      </c>
      <c r="D87" s="16" t="s">
        <v>705</v>
      </c>
      <c r="E87" t="s">
        <v>634</v>
      </c>
      <c r="F87">
        <f t="shared" si="6"/>
        <v>7170</v>
      </c>
      <c r="G87">
        <v>7170</v>
      </c>
      <c r="I87" t="s">
        <v>1007</v>
      </c>
      <c r="J87">
        <v>85</v>
      </c>
      <c r="K87" t="s">
        <v>380</v>
      </c>
      <c r="L87" t="s">
        <v>381</v>
      </c>
      <c r="M87">
        <v>1E-3</v>
      </c>
      <c r="N87">
        <v>0</v>
      </c>
      <c r="O87" t="s">
        <v>1007</v>
      </c>
      <c r="P87">
        <v>7170</v>
      </c>
      <c r="Q87">
        <v>3</v>
      </c>
      <c r="R87" t="s">
        <v>421</v>
      </c>
    </row>
    <row r="88" spans="1:18" x14ac:dyDescent="0.3">
      <c r="A88" s="1" t="str">
        <f t="shared" si="4"/>
        <v>Im_total_kWh</v>
      </c>
      <c r="B88" s="1">
        <f t="shared" si="5"/>
        <v>86</v>
      </c>
      <c r="C88">
        <v>7173</v>
      </c>
      <c r="D88" s="16" t="s">
        <v>727</v>
      </c>
      <c r="E88" t="s">
        <v>635</v>
      </c>
      <c r="F88">
        <f t="shared" si="6"/>
        <v>7172</v>
      </c>
      <c r="G88">
        <v>7172</v>
      </c>
      <c r="H88" t="s">
        <v>1018</v>
      </c>
      <c r="I88" t="s">
        <v>1077</v>
      </c>
      <c r="J88">
        <v>86</v>
      </c>
      <c r="K88" t="s">
        <v>380</v>
      </c>
      <c r="L88" t="s">
        <v>381</v>
      </c>
      <c r="M88">
        <v>1E-3</v>
      </c>
      <c r="N88">
        <v>0</v>
      </c>
      <c r="O88" t="s">
        <v>1077</v>
      </c>
      <c r="P88">
        <v>7172</v>
      </c>
      <c r="Q88">
        <v>3</v>
      </c>
      <c r="R88" t="s">
        <v>421</v>
      </c>
    </row>
    <row r="89" spans="1:18" x14ac:dyDescent="0.3">
      <c r="A89" s="1" t="str">
        <f>IF(VLOOKUP(F89,$G$2:$R$96,2,0)="Used",VLOOKUP(F89,$G$2:$R$96,3,0))</f>
        <v>Ex PV KVarh</v>
      </c>
      <c r="B89" s="1">
        <f t="shared" si="5"/>
        <v>88</v>
      </c>
      <c r="C89">
        <v>7175</v>
      </c>
      <c r="D89" s="16" t="s">
        <v>728</v>
      </c>
      <c r="E89" t="s">
        <v>636</v>
      </c>
      <c r="F89">
        <f t="shared" si="6"/>
        <v>7174</v>
      </c>
      <c r="G89">
        <v>7180</v>
      </c>
      <c r="H89" t="s">
        <v>1018</v>
      </c>
      <c r="I89" t="s">
        <v>1012</v>
      </c>
      <c r="J89">
        <v>87</v>
      </c>
      <c r="K89" t="s">
        <v>380</v>
      </c>
      <c r="L89" t="s">
        <v>381</v>
      </c>
      <c r="M89">
        <v>1E-3</v>
      </c>
      <c r="N89">
        <v>0</v>
      </c>
      <c r="O89" t="s">
        <v>1012</v>
      </c>
      <c r="P89">
        <v>7180</v>
      </c>
      <c r="Q89">
        <v>3</v>
      </c>
      <c r="R89" t="s">
        <v>421</v>
      </c>
    </row>
    <row r="90" spans="1:18" x14ac:dyDescent="0.3">
      <c r="A90" s="1" t="e">
        <f t="shared" si="4"/>
        <v>#N/A</v>
      </c>
      <c r="B90" s="1" t="e">
        <f t="shared" si="5"/>
        <v>#N/A</v>
      </c>
      <c r="C90">
        <v>7177</v>
      </c>
      <c r="D90" s="16" t="s">
        <v>728</v>
      </c>
      <c r="E90" t="s">
        <v>636</v>
      </c>
      <c r="F90">
        <f t="shared" si="6"/>
        <v>7176</v>
      </c>
      <c r="G90">
        <v>7174</v>
      </c>
      <c r="H90" t="s">
        <v>1018</v>
      </c>
      <c r="I90" t="s">
        <v>636</v>
      </c>
      <c r="J90">
        <v>88</v>
      </c>
      <c r="K90" t="s">
        <v>380</v>
      </c>
      <c r="L90" t="s">
        <v>381</v>
      </c>
      <c r="M90">
        <v>1E-3</v>
      </c>
      <c r="N90">
        <v>0</v>
      </c>
      <c r="O90" t="s">
        <v>636</v>
      </c>
      <c r="P90">
        <v>7174</v>
      </c>
      <c r="Q90">
        <v>3</v>
      </c>
      <c r="R90" t="s">
        <v>421</v>
      </c>
    </row>
    <row r="91" spans="1:18" x14ac:dyDescent="0.3">
      <c r="A91" s="1" t="e">
        <f t="shared" si="4"/>
        <v>#N/A</v>
      </c>
      <c r="B91" s="1" t="e">
        <f t="shared" si="5"/>
        <v>#N/A</v>
      </c>
      <c r="C91">
        <v>7179</v>
      </c>
      <c r="D91" s="16" t="s">
        <v>729</v>
      </c>
      <c r="E91" t="s">
        <v>637</v>
      </c>
      <c r="F91">
        <f t="shared" si="6"/>
        <v>7178</v>
      </c>
      <c r="G91">
        <v>7182</v>
      </c>
      <c r="H91" t="s">
        <v>1018</v>
      </c>
      <c r="I91" t="s">
        <v>1013</v>
      </c>
      <c r="J91">
        <v>89</v>
      </c>
      <c r="K91" t="s">
        <v>380</v>
      </c>
      <c r="L91" t="s">
        <v>381</v>
      </c>
      <c r="M91">
        <v>1</v>
      </c>
      <c r="N91">
        <v>0</v>
      </c>
      <c r="O91" t="s">
        <v>1013</v>
      </c>
      <c r="P91">
        <v>7182</v>
      </c>
      <c r="Q91">
        <v>3</v>
      </c>
      <c r="R91" t="s">
        <v>395</v>
      </c>
    </row>
    <row r="92" spans="1:18" x14ac:dyDescent="0.3">
      <c r="A92" s="1" t="str">
        <f t="shared" si="4"/>
        <v>Ex_Total_kVAr</v>
      </c>
      <c r="B92" s="1">
        <f t="shared" si="5"/>
        <v>87</v>
      </c>
      <c r="C92">
        <v>7181</v>
      </c>
      <c r="D92" s="16" t="s">
        <v>729</v>
      </c>
      <c r="E92" t="s">
        <v>637</v>
      </c>
      <c r="F92">
        <f t="shared" si="6"/>
        <v>7180</v>
      </c>
    </row>
    <row r="93" spans="1:18" x14ac:dyDescent="0.3">
      <c r="A93" s="1" t="str">
        <f t="shared" si="4"/>
        <v>No_of_Reset</v>
      </c>
      <c r="B93" s="1">
        <f t="shared" si="5"/>
        <v>89</v>
      </c>
      <c r="C93">
        <v>7183</v>
      </c>
      <c r="D93" s="16" t="s">
        <v>730</v>
      </c>
      <c r="E93" t="s">
        <v>638</v>
      </c>
      <c r="F93">
        <f t="shared" si="6"/>
        <v>7182</v>
      </c>
    </row>
    <row r="94" spans="1:18" x14ac:dyDescent="0.3">
      <c r="A94" s="1" t="e">
        <f t="shared" si="4"/>
        <v>#N/A</v>
      </c>
      <c r="B94" s="1" t="e">
        <f t="shared" si="5"/>
        <v>#N/A</v>
      </c>
      <c r="C94">
        <v>7185</v>
      </c>
      <c r="D94" s="16" t="s">
        <v>639</v>
      </c>
      <c r="E94" t="s">
        <v>640</v>
      </c>
      <c r="F94">
        <f t="shared" si="6"/>
        <v>7184</v>
      </c>
    </row>
    <row r="95" spans="1:18" x14ac:dyDescent="0.3">
      <c r="A95" s="1" t="e">
        <f t="shared" si="4"/>
        <v>#N/A</v>
      </c>
      <c r="B95" s="1" t="e">
        <f t="shared" si="5"/>
        <v>#N/A</v>
      </c>
      <c r="C95">
        <v>7187</v>
      </c>
      <c r="D95" s="16" t="s">
        <v>731</v>
      </c>
      <c r="E95" t="s">
        <v>641</v>
      </c>
      <c r="F95">
        <f t="shared" si="6"/>
        <v>7186</v>
      </c>
    </row>
    <row r="96" spans="1:18" x14ac:dyDescent="0.3">
      <c r="A96" s="1" t="e">
        <f t="shared" si="4"/>
        <v>#N/A</v>
      </c>
      <c r="B96" s="1" t="e">
        <f t="shared" si="5"/>
        <v>#N/A</v>
      </c>
      <c r="C96">
        <v>7191</v>
      </c>
      <c r="D96" s="16" t="s">
        <v>732</v>
      </c>
      <c r="E96" t="s">
        <v>642</v>
      </c>
      <c r="F96">
        <f t="shared" si="6"/>
        <v>7190</v>
      </c>
    </row>
    <row r="97" spans="1:6" x14ac:dyDescent="0.3">
      <c r="A97" s="1" t="e">
        <f t="shared" si="4"/>
        <v>#N/A</v>
      </c>
      <c r="B97" s="1" t="e">
        <f t="shared" si="5"/>
        <v>#N/A</v>
      </c>
      <c r="C97">
        <v>7195</v>
      </c>
      <c r="D97" s="16" t="s">
        <v>733</v>
      </c>
      <c r="E97" t="s">
        <v>643</v>
      </c>
      <c r="F97">
        <f t="shared" si="6"/>
        <v>7194</v>
      </c>
    </row>
    <row r="98" spans="1:6" x14ac:dyDescent="0.3">
      <c r="A98" s="1" t="e">
        <f t="shared" si="4"/>
        <v>#N/A</v>
      </c>
      <c r="B98" s="1" t="e">
        <f t="shared" si="5"/>
        <v>#N/A</v>
      </c>
      <c r="C98">
        <v>7199</v>
      </c>
      <c r="D98" s="16" t="s">
        <v>644</v>
      </c>
      <c r="E98" t="s">
        <v>645</v>
      </c>
      <c r="F98">
        <f t="shared" si="6"/>
        <v>7198</v>
      </c>
    </row>
  </sheetData>
  <mergeCells count="2">
    <mergeCell ref="C1:F1"/>
    <mergeCell ref="G1:R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64DC-BE5B-4E1C-9853-EEF7C7E2D3E9}">
  <dimension ref="A1:C15"/>
  <sheetViews>
    <sheetView workbookViewId="0">
      <selection activeCell="C8" sqref="C8"/>
    </sheetView>
  </sheetViews>
  <sheetFormatPr defaultRowHeight="16.5" x14ac:dyDescent="0.3"/>
  <cols>
    <col min="2" max="2" width="32" bestFit="1" customWidth="1"/>
    <col min="3" max="3" width="16.625" bestFit="1" customWidth="1"/>
  </cols>
  <sheetData>
    <row r="1" spans="1:3" x14ac:dyDescent="0.3">
      <c r="A1" t="s">
        <v>1021</v>
      </c>
    </row>
    <row r="2" spans="1:3" x14ac:dyDescent="0.3">
      <c r="A2" t="s">
        <v>33</v>
      </c>
      <c r="B2" t="s">
        <v>1024</v>
      </c>
    </row>
    <row r="3" spans="1:3" x14ac:dyDescent="0.3">
      <c r="A3" t="s">
        <v>41</v>
      </c>
      <c r="B3" t="s">
        <v>1024</v>
      </c>
    </row>
    <row r="4" spans="1:3" x14ac:dyDescent="0.3">
      <c r="A4" t="s">
        <v>2</v>
      </c>
      <c r="B4" t="s">
        <v>1024</v>
      </c>
    </row>
    <row r="5" spans="1:3" x14ac:dyDescent="0.3">
      <c r="A5" t="s">
        <v>1022</v>
      </c>
      <c r="B5" t="s">
        <v>1023</v>
      </c>
    </row>
    <row r="6" spans="1:3" x14ac:dyDescent="0.3">
      <c r="A6" t="s">
        <v>551</v>
      </c>
      <c r="B6" t="s">
        <v>1025</v>
      </c>
    </row>
    <row r="7" spans="1:3" x14ac:dyDescent="0.3">
      <c r="A7" t="s">
        <v>1068</v>
      </c>
      <c r="C7" t="s">
        <v>1069</v>
      </c>
    </row>
    <row r="8" spans="1:3" x14ac:dyDescent="0.3">
      <c r="A8" t="s">
        <v>7</v>
      </c>
      <c r="B8" t="s">
        <v>1075</v>
      </c>
      <c r="C8" t="s">
        <v>1076</v>
      </c>
    </row>
    <row r="9" spans="1:3" x14ac:dyDescent="0.3">
      <c r="A9" t="s">
        <v>1080</v>
      </c>
      <c r="B9" t="s">
        <v>1023</v>
      </c>
    </row>
    <row r="10" spans="1:3" x14ac:dyDescent="0.3">
      <c r="A10" t="s">
        <v>9</v>
      </c>
      <c r="B10" t="s">
        <v>1023</v>
      </c>
    </row>
    <row r="11" spans="1:3" x14ac:dyDescent="0.3">
      <c r="A11" t="s">
        <v>10</v>
      </c>
      <c r="B11" t="s">
        <v>1023</v>
      </c>
    </row>
    <row r="12" spans="1:3" x14ac:dyDescent="0.3">
      <c r="A12" t="s">
        <v>12</v>
      </c>
      <c r="B12" t="s">
        <v>1091</v>
      </c>
    </row>
    <row r="13" spans="1:3" x14ac:dyDescent="0.3">
      <c r="A13" t="s">
        <v>11</v>
      </c>
      <c r="B13" t="s">
        <v>1023</v>
      </c>
    </row>
    <row r="14" spans="1:3" x14ac:dyDescent="0.3">
      <c r="A14" t="s">
        <v>1105</v>
      </c>
      <c r="B14" t="s">
        <v>1023</v>
      </c>
    </row>
    <row r="15" spans="1:3" x14ac:dyDescent="0.3">
      <c r="A15" t="s">
        <v>1106</v>
      </c>
      <c r="B15" t="s">
        <v>1025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contentBits="0" removed="0"/>
  <clbl:label id="{98208406-c20e-48d7-a517-8606fa32557a}" enabled="1" method="Standard" siteId="{c6445630-e602-4993-a605-7e41f70338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Device list</vt:lpstr>
      <vt:lpstr>IP List</vt:lpstr>
      <vt:lpstr>PVS100</vt:lpstr>
      <vt:lpstr>PVS50</vt:lpstr>
      <vt:lpstr>SUN2000</vt:lpstr>
      <vt:lpstr>Weather Sensor</vt:lpstr>
      <vt:lpstr>From LCD</vt:lpstr>
      <vt:lpstr>Bill Point</vt:lpstr>
      <vt:lpstr>VISTEC12 (2)</vt:lpstr>
      <vt:lpstr>VISTEC12</vt:lpstr>
      <vt:lpstr>TOP1</vt:lpstr>
      <vt:lpstr>TOP2</vt:lpstr>
      <vt:lpstr>PTTMRB</vt:lpstr>
      <vt:lpstr>AICA</vt:lpstr>
      <vt:lpstr>SUT</vt:lpstr>
      <vt:lpstr>Suretex</vt:lpstr>
      <vt:lpstr>PTIC</vt:lpstr>
      <vt:lpstr>RASC</vt:lpstr>
      <vt:lpstr>ENTER</vt:lpstr>
      <vt:lpstr>INI</vt:lpstr>
      <vt:lpstr>Check</vt:lpstr>
      <vt:lpstr>Compare Meter</vt:lpstr>
      <vt:lpstr>Sheet1</vt:lpstr>
      <vt:lpstr>FutureFlex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Nitiphoom Tudset</dc:creator>
  <cp:lastModifiedBy>Saehor, Thanadon (Thanadon.Saehor@yokogawa.com)</cp:lastModifiedBy>
  <dcterms:created xsi:type="dcterms:W3CDTF">2025-02-18T02:37:40Z</dcterms:created>
  <dcterms:modified xsi:type="dcterms:W3CDTF">2026-08-05T08:28:57Z</dcterms:modified>
</cp:coreProperties>
</file>